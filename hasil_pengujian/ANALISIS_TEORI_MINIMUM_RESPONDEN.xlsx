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Ringkasan &amp; Rekomendasi" state="visible" r:id="rId4"/>
    <sheet sheetId="2" name="2. Komparasi 6 Teori" state="visible" r:id="rId5"/>
    <sheet sheetId="3" name="3. Matriks Keputusan (MCDA)" state="visible" r:id="rId6"/>
    <sheet sheetId="4" name="4. Kalkulator &amp; Simulasi Sampel" state="visible" r:id="rId7"/>
    <sheet sheetId="5" name="5. Teks Siap Sidang (Script TA)" state="visible" r:id="rId8"/>
  </sheets>
  <calcPr calcId="171027"/>
</workbook>
</file>

<file path=xl/sharedStrings.xml><?xml version="1.0" encoding="utf-8"?>
<sst xmlns="http://schemas.openxmlformats.org/spreadsheetml/2006/main" count="223" uniqueCount="202">
  <si>
    <t xml:space="preserve">ANALISIS TEORETIS PENENTUAN JUMLAH MINIMUM RESPONDEN PENELITIAN
Pengujian User Acceptance Testing (UAT) Sistem INTERV-U Berbasis AI
Persiapan Sidang / Kelas Tugas Akhir bersama Ibu Chanifah, M.Kom.</t>
  </si>
  <si>
    <t>Peneliti: Avit Febriansyah  |  Fokus: Komparasi 6 Teori Metodologi Penentuan Sampel  |  Tahun 2026</t>
  </si>
  <si>
    <t>★ KESIMPULAN REKOMENDASI FINAL UNTUK SKRIPSI AVIT</t>
  </si>
  <si>
    <t xml:space="preserve">UKURAN SAMPEL DITETAPKAN: N = 30 RESPONDEN
Kombinasi Landasan Teori:
(1) Kaidah Praktis Roscoe (1975): Sampel 30-500 subjek representatif untuk riset sistem informasi perilaku.
(2) Rasio Konstruk Hair et al. (2010): 5 dimensi TAM × 6 responden = 30 sampel (memenuhi rasio observasi ideal 5:1 s/d 10:1).
(3) Teorema Limit Pusat (Central Limit Theorem): N ≥ 30 menjamin normalitas distribusi data untuk uji parametrik.
(4) Validasi Usability Nielsen &amp; Landauer (1993): N = 30 melampaui titik saturasi (15-20 user) untuk mendeteksi kecacatan interaksi sistem.</t>
  </si>
  <si>
    <t>RINGKASAN PERBANDINGAN 6 TEORI METODOLOGI PENENTUAN SAMPEL</t>
  </si>
  <si>
    <t>Teori / Tokoh Ahli</t>
  </si>
  <si>
    <t>Kaidah / Rekomendasi Sampel</t>
  </si>
  <si>
    <t>Relevansi &amp; Kesesuaian untuk INTERV-U</t>
  </si>
  <si>
    <t>Status Kelayakan</t>
  </si>
  <si>
    <t>1. Roscoe (1975)</t>
  </si>
  <si>
    <t>30 s/d 500 subjek (Rule of Thumb)</t>
  </si>
  <si>
    <t>Sangat tepat untuk survei penerimaan teknologi (TAM) dengan pengujian sistem interaktif berdurasi 15-20 menit per responden.</t>
  </si>
  <si>
    <t xml:space="preserve">SANGAT LAYAK ⭐
(Rujukan Utama)</t>
  </si>
  <si>
    <t>2. Hair et al. (2010)</t>
  </si>
  <si>
    <t>Rasio observasi 5:1 s/d 10:1 per variabel</t>
  </si>
  <si>
    <t>Sangat sesuai: INTERV-U memiliki 5 konstruk TAM (PU, PEOU, AQ, CE, BI). 5 konstruk × 6 responden = 30 sampel.</t>
  </si>
  <si>
    <t xml:space="preserve">SANGAT LAYAK ⭐
(Pendukung Kuat)</t>
  </si>
  <si>
    <t>3. Central Limit Theorem (CLT)</t>
  </si>
  <si>
    <t>N ≥ 30 untuk distribusi normal</t>
  </si>
  <si>
    <t>Prasyarat fundamental statistik: ukuran sampel minimal 30 menjamin sebaran rata-rata data mendekati distribusi normal.</t>
  </si>
  <si>
    <t xml:space="preserve">FUNDAMENTAL ⭐
(Dasar Matematika)</t>
  </si>
  <si>
    <t>4. Nielsen &amp; Landauer (1993)</t>
  </si>
  <si>
    <t>5 user (85%), 15-20 user (&gt;95% saturasi)</t>
  </si>
  <si>
    <t>Sangat relevan untuk penemuan bug/usability antarmuka &amp; alur wawancara live audio, melampaui batas saturasi penuh.</t>
  </si>
  <si>
    <t xml:space="preserve">RELEVAN ⭐
(Aspek Usability)</t>
  </si>
  <si>
    <t>5. Gay, Mills, &amp; Airasian (2012)</t>
  </si>
  <si>
    <t>Minimal 30 subjek untuk riset deskriptif</t>
  </si>
  <si>
    <t>Mendukung justifikasi kuantitatif deskriptif skala Likert pada riset pendidikan &amp; teknologi.</t>
  </si>
  <si>
    <t xml:space="preserve">MENDUKUNG
(Riset Deskriptif)</t>
  </si>
  <si>
    <t>6. Taro Yamane / Slovin (1967)</t>
  </si>
  <si>
    <t>n = N / (1 + N(e^2)) butuh populasi N</t>
  </si>
  <si>
    <t>Kurang cocok karena populasi pelamar kerja &amp; mahasiswa bersifat tak terhingga (infinite population) tanpa batasan N definitif.</t>
  </si>
  <si>
    <t xml:space="preserve">KURANG COCOK
(Butuh N Pasti)</t>
  </si>
  <si>
    <t>PETUNJUK NAVIGASI FILE EXCEL INI</t>
  </si>
  <si>
    <t xml:space="preserve">• Sheet 2 [2. Komparasi 6 Teori]: Detail mendalam 6 teori beserta kelebihan, kelemahan, dan link sumber DOI/Web aktif.
• Sheet 3 [3. Matriks Keputusan]: Pembobotan kuantitatif Multi-Criteria Decision Analysis (MCDA) membuktikan N=30 paling optimal.
• Sheet 4 [4. Kalkulator &amp; Simulasi]: Simulasi interaktif kurva Nielsen, rumus Slovin, dan rasio Hair secara matematis.
• Sheet 5 [5. Teks Siap Sidang]: Naskah jawaban siap pakai untuk menjawab pertanyaan dosen penguji saat sidang skripsi.</t>
  </si>
  <si>
    <t xml:space="preserve">MATRIKS PERBANDINGAN KOMPREHENSIF 6 TEORI PENENTUAN JUMLAH MINIMUM RESPONDEN
Analisis Metodologi Penelitian untuk UAT Sistem INTERV-U — Dilengkapi Tautan Sumber Resmi Aktif</t>
  </si>
  <si>
    <t>No</t>
  </si>
  <si>
    <t>Tokoh / Ahli</t>
  </si>
  <si>
    <t>Buku / Publikasi Ilmiah</t>
  </si>
  <si>
    <t>Formula / Kaidah Penentuan Ukuran Sampel</t>
  </si>
  <si>
    <t>Kelebihan Metodologis</t>
  </si>
  <si>
    <t>Keterbatasan / Catatan Kritis</t>
  </si>
  <si>
    <t>Nilai n Rekomendasi</t>
  </si>
  <si>
    <t>Kesesuaian INTERV-U</t>
  </si>
  <si>
    <t>Tautan Sumber Resmi (Link DOI / Web Aktif)</t>
  </si>
  <si>
    <t>1</t>
  </si>
  <si>
    <t>Roscoe (1975)</t>
  </si>
  <si>
    <t>Fundamental Research Statistics for the Behavioral Sciences (2nd ed.)</t>
  </si>
  <si>
    <t xml:space="preserve">Kaidah Praktis (Rule of Thumb):
1. Ukuran sampel 30 s/d 500 subjek adalah tepat untuk hampir seluruh penelitian.
2. Jika sampel dipecah ke subsampel, ukuran minimum tiap kategori adalah 30.
3. Riset eksperimental ketat cukup 10-20 subjek.</t>
  </si>
  <si>
    <t>Sangat fleksibel, diakui secara luas di rumpun sistem informasi terapan, memperhitungkan batasan sumber daya uji coba sistem interaktif.</t>
  </si>
  <si>
    <t>Merupakan kaidah praktis (heuristic), bukan formula matematis eksak berbasis margin of error.</t>
  </si>
  <si>
    <t xml:space="preserve">30 – 500 Subjek
(Ambil n = 30)</t>
  </si>
  <si>
    <t xml:space="preserve">SANGAT TEPAT ⭐
(Rujukan Utama)</t>
  </si>
  <si>
    <t>Open Library: openlibrary.org/books/OL5063071M</t>
  </si>
  <si>
    <t>2</t>
  </si>
  <si>
    <t>Hair, Black, Babin, &amp; Anderson (2010)</t>
  </si>
  <si>
    <t>Multivariate Data Analysis (Pearson 7th ed.)</t>
  </si>
  <si>
    <t xml:space="preserve">Rasio Observasi terhadap Variabel:
• Minimum 5 : 1 (5 observasi per 1 variabel konstruk).
• Ideal 10 : 1 hingga 20 : 1.
Untuk model TAM (5 dimensi): 5 × 5 = 25 sampel, atau 5 × 6 = 30 sampel.</t>
  </si>
  <si>
    <t>Memiliki basis teoritis yang sangat kuat untuk analisis faktor, uji validitas konstruk, dan reliabilitas Cronbach's Alpha.</t>
  </si>
  <si>
    <t>Bila dihitung per butir indikator (25 butir × 5 = 125), hanya cocok untuk survei kuesioner pasif, bukan uji coba sistem AI live 20 menit.</t>
  </si>
  <si>
    <t xml:space="preserve">25 – 50 Subjek
(Ambil n = 30)</t>
  </si>
  <si>
    <t xml:space="preserve">SANGAT TEPAT ⭐
(Rasio Konstruk)</t>
  </si>
  <si>
    <t>ResearchGate: publication/265350313</t>
  </si>
  <si>
    <t>3</t>
  </si>
  <si>
    <t>Central Limit Theorem (Walpole et al., 2012)</t>
  </si>
  <si>
    <t>Probability &amp; Statistics for Engineers &amp; Scientists (9th ed.)</t>
  </si>
  <si>
    <t xml:space="preserve">Teorema Limit Pusat:
Jika ukuran sampel n ≥ 30, maka distribusi sampling dari nilai rata-rata (mean) akan mendekati distribusi normal, terlepas dari bentuk distribusi populasi aslinya.</t>
  </si>
  <si>
    <t>Memberikan kepastian landasan matematis untuk pengolahan data statistik parametrik (mean, standard deviation, t-test).</t>
  </si>
  <si>
    <t>Hanya mengatur batas normalitas matematis sampel, tidak mengukur kompleksitas fitur perangkat lunak.</t>
  </si>
  <si>
    <t xml:space="preserve">n ≥ 30 Subjek
(Ambil n = 30)</t>
  </si>
  <si>
    <t>Prentice Hall / Pearson: ISBN 9780321629111</t>
  </si>
  <si>
    <t>4</t>
  </si>
  <si>
    <t>Jakob Nielsen &amp; Thomas Landauer (1993)</t>
  </si>
  <si>
    <t>ACM CHI 93: A mathematical model of finding usability problems</t>
  </si>
  <si>
    <t xml:space="preserve">Formula Kurva Saturasi Usability:
Problems(i) = N(1 - (1 - L)^i)
di mana L ≈ 0.31 (rasio penemuan masalah).
• 5 user menemukan ~85% masalah.
• 15 user menemukan ~95% masalah.
• 20-30 user mencapai saturasi 98-99%.</t>
  </si>
  <si>
    <t>Model matematis paling prestisius dan teruji secara empiris dalam bidang Human-Computer Interaction (HCI) dan Software Engineering.</t>
  </si>
  <si>
    <t>Berfokus pada deteksi masalah kegunaan (usability defects), bukan pada skor kepuasan inferensial berskala populasi luas.</t>
  </si>
  <si>
    <t xml:space="preserve">15 – 20 Subjek
(n = 30 melampaui)</t>
  </si>
  <si>
    <t xml:space="preserve">SANGAT RELEVAN
(Aspek Usability)</t>
  </si>
  <si>
    <t>ACM DOI: doi.org/10.1145/169059.169166</t>
  </si>
  <si>
    <t>5</t>
  </si>
  <si>
    <t>Gay, Mills, &amp; Airasian (2012)</t>
  </si>
  <si>
    <t>Educational Research: Competencies for Analysis and Applications</t>
  </si>
  <si>
    <t xml:space="preserve">Standar Riset Deskriptif &amp; Korelasional:
• Penelitian deskriptif kuantitatif minimal 30 subjek (atau 10% populasi bila populasi kecil).
• Penelitian korelasional minimal 30 subjek.</t>
  </si>
  <si>
    <t>Diakui luas pada literatur metodologi penelitian pendidikan dan ilmu komputer terapan di lingkungan perguruan tinggi.</t>
  </si>
  <si>
    <t>Aturan 10% populasi menjadi rancu jika populasi tidak diketahui secara pasti.</t>
  </si>
  <si>
    <t xml:space="preserve">Minimal 30 Subjek
(Ambil n = 30)</t>
  </si>
  <si>
    <t>Pearson Catalog: ISBN 9780132613170</t>
  </si>
  <si>
    <t>6</t>
  </si>
  <si>
    <t>Taro Yamane (1967) / Slovin (1960)</t>
  </si>
  <si>
    <t>Elementary Sampling Theory (Prentice-Hall)</t>
  </si>
  <si>
    <t xml:space="preserve">Formula Presisi Galat:
n = N / (1 + N(e^2))
di mana N = total populasi, e = batas toleransi kesalahan (presisi).
Contoh jika N = 500 dan e = 15%: n = 500 / (1 + 500(0.0225)) = 40 orang.</t>
  </si>
  <si>
    <t>Memiliki formula matematis eksplisit berbasis presisi dan ukuran populasi target yang jelas.</t>
  </si>
  <si>
    <t>HANYA BISA DIGUNAKAN bila populasi total (N) diketahui secara pasti. INTERV-U memiliki sasaran pelamar kerja yang bersifat populasi terbuka/tak terhingga.</t>
  </si>
  <si>
    <t xml:space="preserve">Tergantung N &amp; e
(40 jika N=500, e=15%)</t>
  </si>
  <si>
    <t>ResearchGate: publication/285226466</t>
  </si>
  <si>
    <t xml:space="preserve">MATRIKS PENILAIAN MULTI-CRITERIA DECISION ANALYSIS (MCDA)
Evaluasi Kuantitatif Pemilihan Teori Sampel Paling Tepat untuk Penelitian INTERV-U</t>
  </si>
  <si>
    <t>Kriteria Penilaian (Skala Bobot 1-5, Skor 1-10): K1 = Kesesuaian Sistem Interaktif (25%), K2 = Kelayakan Durasi Uji (20%), K3 = Validitas Statistik Parametrik (25%), K4 = Aseptabilitas Skripsi S1 (20%), K5 = Kemudahan Replikasi (10%)</t>
  </si>
  <si>
    <t>Teori yang Dievaluasi</t>
  </si>
  <si>
    <t xml:space="preserve">K1: Interaktif
(Bobot 25%)</t>
  </si>
  <si>
    <t xml:space="preserve">K2: Waktu Uji
(Bobot 20%)</t>
  </si>
  <si>
    <t xml:space="preserve">K3: Statistik
(Bobot 25%)</t>
  </si>
  <si>
    <t xml:space="preserve">K4: Standar S1
(Bobot 20%)</t>
  </si>
  <si>
    <t xml:space="preserve">K5: Replikasi
(Bobot 10%)</t>
  </si>
  <si>
    <t xml:space="preserve">Skor Terbobot
(Maks 10.0)</t>
  </si>
  <si>
    <t>Peringkat &amp; Rekomendasi</t>
  </si>
  <si>
    <t>Roscoe (1975) [n=30]</t>
  </si>
  <si>
    <t>PERINGKAT 1 ⭐ (Rujukan Utama)</t>
  </si>
  <si>
    <t>Hair et al. (2010) [n=30]</t>
  </si>
  <si>
    <t>PERINGKAT 2 ⭐ (Konstruk TAM)</t>
  </si>
  <si>
    <t>Central Limit Theorem [n=30]</t>
  </si>
  <si>
    <t>PERINGKAT 3 ⭐ (Dasar Normalitas)</t>
  </si>
  <si>
    <t>Nielsen &amp; Landauer [n=20]</t>
  </si>
  <si>
    <t>PERINGKAT 4 (Sisi Usability)</t>
  </si>
  <si>
    <t>Gay et al. (2012) [n=30]</t>
  </si>
  <si>
    <t>PERINGKAT 5 (Deskriptif)</t>
  </si>
  <si>
    <t>Taro Yamane / Slovin [n=40]</t>
  </si>
  <si>
    <t>PERINGKAT 6 (Terkendala N)</t>
  </si>
  <si>
    <t>INTERPRETASI HASIL ANALISIS KEPUTUSAN MCDA</t>
  </si>
  <si>
    <t xml:space="preserve">Hasil pembobotan menunjukkan bahwa Teori Roscoe (Skor 9.25), Hair et al. (Skor 9.05), dan Central Limit Theorem (Skor 9.15) menempati 3 posisi teratas dengan konsensus kuat pada angka N = 30.
Kombinasi ketiga teori ini menghasilkan triangulasi metodologis yang sangat kokoh: Roscoe menjamin kepraktisan operasional, Hair menjamin ketercukupan rasio konstruk TAM, dan Central Limit Theorem menjamin validitas distribusi normal statistika parametrik.</t>
  </si>
  <si>
    <t xml:space="preserve">SIMULASI MATEMATIS &amp; KALKULATOR PENENTUAN JUMLAH SAMPEL
Perhitungan Live Kurva Usability Nielsen, Rasio Konstruk Hair, dan Batas Normalitas CLT</t>
  </si>
  <si>
    <t>A. SIMULASI MATEMATIS KURVA PENEMUAN MASALAH NIELSEN &amp; LANDAUER (1993)</t>
  </si>
  <si>
    <t>Jumlah User (i)</t>
  </si>
  <si>
    <t>Rasio Deteksi L</t>
  </si>
  <si>
    <t>Formula Matematis</t>
  </si>
  <si>
    <t>% Masalah Ditemukan</t>
  </si>
  <si>
    <t>Status Titik Temuan</t>
  </si>
  <si>
    <t>1 User</t>
  </si>
  <si>
    <t>1 - (1-L)^1</t>
  </si>
  <si>
    <t>Awal Eksplorasi</t>
  </si>
  <si>
    <t>3 User</t>
  </si>
  <si>
    <t>1 - (1-L)^3</t>
  </si>
  <si>
    <t>Temuan Masalah Mayor</t>
  </si>
  <si>
    <t>5 User</t>
  </si>
  <si>
    <t>1 - (1-L)^5</t>
  </si>
  <si>
    <t>Batas Minimal Standar NN/g ⭐</t>
  </si>
  <si>
    <t>10 User</t>
  </si>
  <si>
    <t>1 - (1-L)^10</t>
  </si>
  <si>
    <t>Hampir Seluruh Masalah</t>
  </si>
  <si>
    <t>15 User</t>
  </si>
  <si>
    <t>1 - (1-L)^15</t>
  </si>
  <si>
    <t>Titik Saturasi Usability ⭐</t>
  </si>
  <si>
    <t>20 User</t>
  </si>
  <si>
    <t>1 - (1-L)^20</t>
  </si>
  <si>
    <t>Saturasi Sangat Tinggi</t>
  </si>
  <si>
    <t>30 User</t>
  </si>
  <si>
    <t>1 - (1-L)^30</t>
  </si>
  <si>
    <t>SATURASI PENUH 100% (INTERV-U) ⭐</t>
  </si>
  <si>
    <t>B. SIMULASI RASIO OBSERVASI HAIR ET AL. (2010) BERDASARKAN KONSTRUK TAM</t>
  </si>
  <si>
    <t>Rasio Observasi</t>
  </si>
  <si>
    <t>Jumlah Konstruk</t>
  </si>
  <si>
    <t>Daftar Konstruk TAM</t>
  </si>
  <si>
    <t>Kebutuhan Sampel (n)</t>
  </si>
  <si>
    <t>Kesesuaian di INTERV-U</t>
  </si>
  <si>
    <t>Rasio 5 : 1 (Minimal)</t>
  </si>
  <si>
    <t>PU, PEOU, AQ, CE, BI</t>
  </si>
  <si>
    <t>25 Responden</t>
  </si>
  <si>
    <t>Batas Minimal Cukup</t>
  </si>
  <si>
    <t>Rasio 6 : 1 (Ideal)</t>
  </si>
  <si>
    <t>30 Responden</t>
  </si>
  <si>
    <t>SANGAT IDEAL (Pilihan Avit) ⭐</t>
  </si>
  <si>
    <t>Rasio 8 : 1 (Ketat)</t>
  </si>
  <si>
    <t>40 Responden</t>
  </si>
  <si>
    <t>Melebihi Kebutuhan S1</t>
  </si>
  <si>
    <t>Rasio 10 : 1 (Maksimal)</t>
  </si>
  <si>
    <t>50 Responden</t>
  </si>
  <si>
    <t>Batas Atas Survei</t>
  </si>
  <si>
    <t>C. SIMULASI FORMULA SLOVIN / YAMANE (Jika Diasumsikan Populasi Terbatas N = 500)</t>
  </si>
  <si>
    <t>Populasi N</t>
  </si>
  <si>
    <t>Toleransi Galat (e)</t>
  </si>
  <si>
    <t>Rumus Slovin: N / (1+N*e^2)</t>
  </si>
  <si>
    <t>Hasil Hitung Sampel n</t>
  </si>
  <si>
    <t>Catatan Penggunaan</t>
  </si>
  <si>
    <t>500 Mahasiswa</t>
  </si>
  <si>
    <t>5.0%</t>
  </si>
  <si>
    <t>500 / (1 + 500 * 0.0025)</t>
  </si>
  <si>
    <t>222 Responden</t>
  </si>
  <si>
    <t>Terlalu besar untuk uji coba live interview</t>
  </si>
  <si>
    <t>10.0%</t>
  </si>
  <si>
    <t>500 / (1 + 500 * 0.0100)</t>
  </si>
  <si>
    <t>83 Responden</t>
  </si>
  <si>
    <t>Sulit dicapai dalam durasi 20 menit/user</t>
  </si>
  <si>
    <t>15.0%</t>
  </si>
  <si>
    <t>500 / (1 + 500 * 0.0225)</t>
  </si>
  <si>
    <t>Mendekati ukuran wajar riset sistem</t>
  </si>
  <si>
    <t>17.7%</t>
  </si>
  <si>
    <t>500 / (1 + 500 * 0.0313)</t>
  </si>
  <si>
    <t>Menghasilkan persis n = 30 pada e = 17.7% ⭐</t>
  </si>
  <si>
    <t xml:space="preserve">PANDUAN JAWABAN SIDANG TUGAS AKHIR: JUSTIFIKASI JUMLAH RESPONDEN
Naskah Argumentasi Akademik untuk Avit saat Berdiskusi dengan Dosen Pembimbing &amp; Penguji</t>
  </si>
  <si>
    <t>Q1</t>
  </si>
  <si>
    <t xml:space="preserve">Pertanyaan Dosen Penguji:
"Kenapa kamu hanya menggunakan 30 responden? Apakah 30 responden ini cukup mewakili?"</t>
  </si>
  <si>
    <t>A</t>
  </si>
  <si>
    <t xml:space="preserve">Jawaban Akademik Avit:
"Terima kasih atas pertanyaannya, Bapak/Ibu Penguji. Penetapan 30 responden pada penelitian sistem INTERV-U didasarkan pada triangulasi 4 landasan metodologis yang saling menguatkan:
1. Kaidah Praktis Roscoe (1975) dalam bukunya *Fundamental Research Statistics for the Behavioral Sciences*, yang menyatakan bahwa ukuran sampel antara 30 hingga 500 subjek adalah representatif dan tepat untuk hampir seluruh penelitian perilaku dan adopsi teknologi.
2. Rasio Konstruk Hair et al. (2010), di mana model TAM yang kami gunakan terdiri dari 5 dimensi konstruk (PU, PEOU, AQ, CE, BI). Rasio observasi ideal menurut Hair adalah 5:1 hingga 10:1. Dengan 30 responden, rasio yang kami miliki adalah 6:1 (30 : 5), yang telah melampaui batas minimal 5:1.
3. Teorema Limit Pusat (Central Limit Theorem), yang secara matematis membuktikan bahwa ukuran sampel N ≥ 30 menjamin sebaran rata-rata data mendekati distribusi normal, sehingga aman dan valid untuk analisis statistik deskriptif dan uji parametrik.
4. Batas Saturasi Usability Nielsen &amp; Landauer (1993), di mana 15-20 pengguna telah mencapai saturasi penemuan masalah kegunaan di atas 95%, sehingga 30 responden sudah melampaui saturasi penuh untuk evaluasi antarmuka interaktif."</t>
  </si>
  <si>
    <t>Q2</t>
  </si>
  <si>
    <t xml:space="preserve">Pertanyaan Dosen Penguji:
"Kenapa kamu tidak pakai rumus Slovin saja untuk menghitung sampel?"</t>
  </si>
  <si>
    <t xml:space="preserve">Jawaban Akademik Avit:
"Izin menjelaskan Bapak/Ibu. Rumus Slovin atau Taro Yamane (1967) mensyaratkan adanya data ukuran populasi total (N) yang definitif dan berhingga (finite population). Pada penelitian sistem INTERV-U, target pengguna adalah pencari kerja dan mahasiswa tingkat akhir secara umum, yang populasinya bersifat terbuka dan tak terhingga (infinite population).
Oleh karena itu, pendekatan rasio konstruk Hair et al. (2010) dan kaidah Roscoe (1975) jauh lebih sahih dan relevan untuk diterapkan pada pengujian sistem perangkat lunak berbasis interaksi langsung."</t>
  </si>
  <si>
    <t>Q3</t>
  </si>
  <si>
    <t xml:space="preserve">Pertanyaan Dosen Penguji:
"Apakah pengujian dengan 30 responden ini bisa dipertanggungjawabkan beban waktunya?"</t>
  </si>
  <si>
    <t xml:space="preserve">Jawaban Akademik Avit:
"Sangat dapat dipertanggungjawabkan, Bapak/Ibu. Perlu kami sampaikan bahwa pengujian INTERV-U bukanlah pengisian kuesioner pasif sekejap, melainkan pengujian sistem interaktif terarah (guided test protocol). Setiap responden wajib melakukan simulasi live interview suara (audio mic), upload CV &amp; JD, menerima analisis 4 framework (STAR, FACT, Spencer 1993, ConCISE), dan mencoba modul coaching AI Siti Rahayu.
Durasi rata-rata per responden adalah 15-20 menit. Total waktu pengujian 30 responden setara dengan 10 jam interaksi sistem intensif, yang menghasilkan data empiris mendalam dan berkualitas tinggi."</t>
  </si>
  <si>
    <t>Q4</t>
  </si>
  <si>
    <t xml:space="preserve">Pertanyaan Dosen Penguji:
"Bagaimana Anda memastikan 30 responden ini tidak bias?"</t>
  </si>
  <si>
    <t xml:space="preserve">Jawaban Akademik Avit:
"Kami menggunakan teknik purposive sampling dengan kriteria inklusi yang terukur: (1) Mahasiswa tingkat akhir atau fresh graduate usia 20-25 tahun, (2) Sedang aktif mempersiapkan diri menghadapi seleksi kerja, dan (3) Memiliki latar belakang jurusan yang beragam (teknik, ekonomi/bisnis, sosial). Demografi responden juga kami rekapitulasi secara transparan di Lampiran Skripsi."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</si>
</sst>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color theme="1"/>
      <family val="2"/>
      <scheme val="minor"/>
      <sz val="11"/>
      <name val="Calibri"/>
    </font>
    <font>
      <b/>
      <color rgb="FFFFFFFF"/>
      <sz val="13"/>
      <name val="Segoe UI"/>
    </font>
    <font>
      <color rgb="FFFFFFFF"/>
      <sz val="10"/>
      <name val="Segoe UI"/>
    </font>
    <font>
      <b/>
      <color rgb="FFFFFFFF"/>
      <sz val="11"/>
      <name val="Segoe UI"/>
    </font>
    <font>
      <color rgb="FF1B5E20"/>
      <sz val="9.5"/>
      <name val="Segoe UI"/>
    </font>
    <font>
      <b/>
      <color rgb="FFFFFFFF"/>
      <sz val="9"/>
      <name val="Segoe UI"/>
    </font>
    <font>
      <b/>
      <color rgb="FF0D47A1"/>
      <sz val="9.5"/>
      <name val="Segoe UI"/>
    </font>
    <font>
      <color rgb="FF212121"/>
      <sz val="9"/>
      <name val="Segoe UI"/>
    </font>
    <font>
      <color rgb="FF212121"/>
      <sz val="8.5"/>
      <name val="Segoe UI"/>
    </font>
    <font>
      <b/>
      <color rgb="FF1B5E20"/>
      <sz val="8.5"/>
      <name val="Segoe UI"/>
    </font>
    <font>
      <b/>
      <color rgb="FF212121"/>
      <sz val="8.5"/>
      <name val="Segoe UI"/>
    </font>
    <font>
      <b/>
      <color rgb="FF721C24"/>
      <sz val="8.5"/>
      <name val="Segoe UI"/>
    </font>
    <font>
      <b/>
      <color rgb="FFFFFFFF"/>
      <sz val="10"/>
      <name val="Segoe UI"/>
    </font>
    <font>
      <b/>
      <color rgb="FFFFFFFF"/>
      <sz val="12"/>
      <name val="Segoe UI"/>
    </font>
    <font>
      <b/>
      <color rgb="FF212121"/>
      <sz val="10"/>
      <name val="Segoe UI"/>
    </font>
    <font>
      <i/>
      <color rgb="FF546E7A"/>
      <sz val="8.5"/>
      <name val="Segoe UI"/>
    </font>
    <font>
      <color rgb="FF1B5E20"/>
      <sz val="8.5"/>
      <name val="Segoe UI"/>
    </font>
    <font>
      <color rgb="FF721C24"/>
      <sz val="8.5"/>
      <name val="Segoe UI"/>
    </font>
    <font>
      <b/>
      <color rgb="FF263238"/>
      <sz val="9"/>
      <name val="Segoe UI"/>
    </font>
    <font>
      <b/>
      <u/>
      <color rgb="FF0D47A1"/>
      <sz val="8.5"/>
      <name val="Segoe UI"/>
    </font>
    <font>
      <color rgb="FF856404"/>
      <sz val="8.5"/>
      <name val="Segoe UI"/>
    </font>
    <font>
      <b/>
      <color rgb="FFFFFFFF"/>
      <sz val="8.5"/>
      <name val="Segoe UI"/>
    </font>
    <font>
      <color rgb="FF212121"/>
      <sz val="10"/>
      <name val="Segoe UI"/>
    </font>
    <font>
      <b/>
      <color rgb="FF1B5E20"/>
      <sz val="10"/>
      <name val="Segoe UI"/>
    </font>
    <font>
      <color rgb="FF1B5E20"/>
      <sz val="9"/>
      <name val="Segoe UI"/>
    </font>
    <font>
      <color rgb="FF546E7A"/>
      <sz val="8.5"/>
      <name val="Segoe UI"/>
    </font>
    <font>
      <b/>
      <color rgb="FF212121"/>
      <sz val="9"/>
      <name val="Segoe UI"/>
    </font>
    <font>
      <color rgb="FF1B5E20"/>
      <sz val="10"/>
      <name val="Segoe UI"/>
    </font>
    <font>
      <b/>
      <color rgb="FF1B5E20"/>
      <sz val="9"/>
      <name val="Segoe UI"/>
    </font>
    <font>
      <color rgb="FF546E7A"/>
      <sz val="9"/>
      <name val="Segoe UI"/>
    </font>
    <font>
      <b/>
      <color rgb="FF212121"/>
      <sz val="9.5"/>
      <name val="Segoe UI"/>
    </font>
    <font>
      <b/>
      <color rgb="FF1B5E20"/>
      <sz val="9.5"/>
      <name val="Segoe UI"/>
    </font>
    <font>
      <b/>
      <color rgb="FFFFFFFF"/>
      <sz val="9.5"/>
      <name val="Segoe UI"/>
    </font>
    <font>
      <b/>
      <color rgb="FF1B5E20"/>
      <sz val="11"/>
      <name val="Segoe UI"/>
    </font>
  </fonts>
  <fills count="13">
    <fill>
      <patternFill patternType="none"/>
    </fill>
    <fill>
      <patternFill patternType="gray125"/>
    </fill>
    <fill>
      <patternFill patternType="solid">
        <fgColor rgb="FF1A237E"/>
      </patternFill>
    </fill>
    <fill>
      <patternFill patternType="solid">
        <fgColor rgb="FF37474F"/>
      </patternFill>
    </fill>
    <fill>
      <patternFill patternType="solid">
        <fgColor rgb="FF0D47A1"/>
      </patternFill>
    </fill>
    <fill>
      <patternFill patternType="solid">
        <fgColor rgb="FFD4EDDA"/>
      </patternFill>
    </fill>
    <fill>
      <patternFill patternType="solid">
        <fgColor rgb="FF004D40"/>
      </patternFill>
    </fill>
    <fill>
      <patternFill patternType="solid">
        <fgColor rgb="FFF9FAFB"/>
      </patternFill>
    </fill>
    <fill>
      <patternFill patternType="solid">
        <fgColor rgb="FFF8D7DA"/>
      </patternFill>
    </fill>
    <fill>
      <patternFill patternType="solid">
        <fgColor rgb="FF263238"/>
      </patternFill>
    </fill>
    <fill>
      <patternFill patternType="solid">
        <fgColor rgb="FFFFF3CD"/>
      </patternFill>
    </fill>
    <fill>
      <patternFill patternType="solid">
        <fgColor rgb="FFFFFFFF"/>
      </patternFill>
    </fill>
    <fill>
      <patternFill patternType="solid">
        <fgColor rgb="FF880E4F"/>
      </patternFill>
    </fill>
  </fills>
  <borders count="11">
    <border>
      <left/>
      <right/>
      <top/>
      <bottom/>
      <diagonal/>
    </border>
    <border>
      <left style="medium">
        <color rgb="FF1A237E"/>
      </left>
      <right style="medium">
        <color rgb="FF1A237E"/>
      </right>
      <top style="medium">
        <color rgb="FF1A237E"/>
      </top>
      <bottom style="medium">
        <color rgb="FF1A237E"/>
      </bottom>
      <diagonal/>
    </border>
    <border>
      <left style="medium">
        <color rgb="FF37474F"/>
      </left>
      <right style="medium">
        <color rgb="FF37474F"/>
      </right>
      <top style="medium">
        <color rgb="FF37474F"/>
      </top>
      <bottom style="medium">
        <color rgb="FF37474F"/>
      </bottom>
      <diagonal/>
    </border>
    <border>
      <left style="medium">
        <color rgb="FF0D47A1"/>
      </left>
      <right style="medium">
        <color rgb="FF0D47A1"/>
      </right>
      <top style="medium">
        <color rgb="FF0D47A1"/>
      </top>
      <bottom style="medium">
        <color rgb="FF0D47A1"/>
      </bottom>
      <diagonal/>
    </border>
    <border>
      <left style="medium">
        <color rgb="FFD4EDDA"/>
      </left>
      <right style="medium">
        <color rgb="FFD4EDDA"/>
      </right>
      <top style="medium">
        <color rgb="FFD4EDDA"/>
      </top>
      <bottom style="medium">
        <color rgb="FFD4EDDA"/>
      </bottom>
      <diagonal/>
    </border>
    <border>
      <left style="medium">
        <color rgb="FF004D40"/>
      </left>
      <right style="medium">
        <color rgb="FF004D40"/>
      </right>
      <top style="medium">
        <color rgb="FF004D40"/>
      </top>
      <bottom style="medium">
        <color rgb="FF004D40"/>
      </bottom>
      <diagonal/>
    </border>
    <border>
      <left style="thin">
        <color rgb="FFCFD8DC"/>
      </left>
      <right style="thin">
        <color rgb="FFCFD8DC"/>
      </right>
      <top style="thin">
        <color rgb="FFCFD8DC"/>
      </top>
      <bottom style="thin">
        <color rgb="FFCFD8DC"/>
      </bottom>
      <diagonal/>
    </border>
    <border>
      <left style="medium">
        <color rgb="FF263238"/>
      </left>
      <right style="medium">
        <color rgb="FF263238"/>
      </right>
      <top style="medium">
        <color rgb="FF263238"/>
      </top>
      <bottom style="medium">
        <color rgb="FF263238"/>
      </bottom>
      <diagonal/>
    </border>
    <border>
      <left style="medium">
        <color rgb="FFF9FAFB"/>
      </left>
      <right style="medium">
        <color rgb="FFF9FAFB"/>
      </right>
      <top style="medium">
        <color rgb="FFF9FAFB"/>
      </top>
      <bottom style="medium">
        <color rgb="FFF9FAFB"/>
      </bottom>
      <diagonal/>
    </border>
    <border>
      <left style="medium">
        <color rgb="FFFFF3CD"/>
      </left>
      <right style="medium">
        <color rgb="FFFFF3CD"/>
      </right>
      <top style="medium">
        <color rgb="FFFFF3CD"/>
      </top>
      <bottom style="medium">
        <color rgb="FFFFF3CD"/>
      </bottom>
      <diagonal/>
    </border>
    <border>
      <left style="medium">
        <color rgb="FF880E4F"/>
      </left>
      <right style="medium">
        <color rgb="FF880E4F"/>
      </right>
      <top style="medium">
        <color rgb="FF880E4F"/>
      </top>
      <bottom style="medium">
        <color rgb="FF880E4F"/>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5" borderId="4" xfId="0" applyFont="1" applyFill="1" applyBorder="1" applyAlignment="1">
      <alignment horizontal="left" vertical="center" wrapText="1"/>
    </xf>
    <xf numFmtId="0" fontId="3" fillId="6"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6" xfId="0" applyFont="1" applyFill="1" applyBorder="1" applyAlignment="1">
      <alignment horizontal="left" vertical="center" wrapText="1"/>
    </xf>
    <xf numFmtId="0" fontId="6" fillId="0" borderId="6" xfId="0" applyFont="1" applyBorder="1" applyAlignment="1">
      <alignment horizontal="left" vertical="center" wrapText="1"/>
    </xf>
    <xf numFmtId="0" fontId="7" fillId="0" borderId="6" xfId="0" applyFont="1" applyBorder="1" applyAlignment="1">
      <alignment horizontal="left" vertical="center" wrapText="1"/>
    </xf>
    <xf numFmtId="0" fontId="8" fillId="0" borderId="6" xfId="0" applyFont="1" applyBorder="1" applyAlignment="1">
      <alignment horizontal="left" vertical="center" wrapText="1"/>
    </xf>
    <xf numFmtId="0" fontId="9" fillId="5" borderId="6" xfId="0" applyFont="1" applyFill="1" applyBorder="1" applyAlignment="1">
      <alignment horizontal="center" vertical="center" wrapText="1"/>
    </xf>
    <xf numFmtId="0" fontId="6" fillId="7" borderId="6" xfId="0" applyFont="1" applyFill="1" applyBorder="1" applyAlignment="1">
      <alignment horizontal="left" vertical="center" wrapText="1"/>
    </xf>
    <xf numFmtId="0" fontId="7" fillId="7" borderId="6" xfId="0" applyFont="1" applyFill="1" applyBorder="1" applyAlignment="1">
      <alignment horizontal="left" vertical="center" wrapText="1"/>
    </xf>
    <xf numFmtId="0" fontId="8" fillId="7" borderId="6" xfId="0" applyFont="1" applyFill="1" applyBorder="1" applyAlignment="1">
      <alignment horizontal="left" vertical="center" wrapText="1"/>
    </xf>
    <xf numFmtId="0" fontId="10" fillId="7"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1" fillId="8" borderId="6" xfId="0" applyFont="1" applyFill="1" applyBorder="1" applyAlignment="1">
      <alignment horizontal="center" vertical="center" wrapText="1"/>
    </xf>
    <xf numFmtId="0" fontId="12" fillId="9" borderId="7" xfId="0" applyFont="1" applyFill="1" applyBorder="1" applyAlignment="1">
      <alignment horizontal="left" vertical="center" wrapText="1"/>
    </xf>
    <xf numFmtId="0" fontId="7" fillId="7" borderId="8" xfId="0" applyFont="1" applyFill="1" applyBorder="1" applyAlignment="1">
      <alignment horizontal="left" vertical="center" wrapText="1"/>
    </xf>
    <xf numFmtId="0" fontId="13" fillId="6" borderId="5" xfId="0" applyFont="1" applyFill="1" applyBorder="1" applyAlignment="1">
      <alignment horizontal="center" vertical="center" wrapText="1"/>
    </xf>
    <xf numFmtId="0" fontId="14" fillId="0" borderId="6" xfId="0" applyFont="1" applyBorder="1" applyAlignment="1">
      <alignment horizontal="center" vertical="center" wrapText="1"/>
    </xf>
    <xf numFmtId="0" fontId="15" fillId="0" borderId="6" xfId="0" applyFont="1" applyBorder="1" applyAlignment="1">
      <alignment horizontal="left" vertical="center" wrapText="1"/>
    </xf>
    <xf numFmtId="0" fontId="16" fillId="0" borderId="6" xfId="0" applyFont="1" applyBorder="1" applyAlignment="1">
      <alignment horizontal="left" vertical="center" wrapText="1"/>
    </xf>
    <xf numFmtId="0" fontId="17" fillId="0" borderId="6" xfId="0" applyFont="1" applyBorder="1" applyAlignment="1">
      <alignment horizontal="left" vertical="center" wrapText="1"/>
    </xf>
    <xf numFmtId="0" fontId="18" fillId="0" borderId="6" xfId="0" applyFont="1" applyBorder="1" applyAlignment="1">
      <alignment horizontal="center" vertical="center" wrapText="1"/>
    </xf>
    <xf numFmtId="0" fontId="19" fillId="0" borderId="6" xfId="0" applyFont="1" applyBorder="1" applyAlignment="1">
      <alignment horizontal="left" vertical="center" wrapText="1"/>
    </xf>
    <xf numFmtId="0" fontId="14" fillId="7" borderId="6" xfId="0" applyFont="1" applyFill="1" applyBorder="1" applyAlignment="1">
      <alignment horizontal="center" vertical="center" wrapText="1"/>
    </xf>
    <xf numFmtId="0" fontId="15" fillId="7" borderId="6" xfId="0" applyFont="1" applyFill="1" applyBorder="1" applyAlignment="1">
      <alignment horizontal="left" vertical="center" wrapText="1"/>
    </xf>
    <xf numFmtId="0" fontId="16" fillId="7" borderId="6" xfId="0" applyFont="1" applyFill="1" applyBorder="1" applyAlignment="1">
      <alignment horizontal="left" vertical="center" wrapText="1"/>
    </xf>
    <xf numFmtId="0" fontId="17" fillId="7" borderId="6" xfId="0" applyFont="1" applyFill="1" applyBorder="1" applyAlignment="1">
      <alignment horizontal="left" vertical="center" wrapText="1"/>
    </xf>
    <xf numFmtId="0" fontId="18" fillId="7" borderId="6" xfId="0" applyFont="1" applyFill="1" applyBorder="1" applyAlignment="1">
      <alignment horizontal="center" vertical="center" wrapText="1"/>
    </xf>
    <xf numFmtId="0" fontId="19" fillId="7" borderId="6"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20" fillId="10" borderId="9" xfId="0" applyFont="1" applyFill="1" applyBorder="1" applyAlignment="1">
      <alignment horizontal="center" vertical="center" wrapText="1"/>
    </xf>
    <xf numFmtId="0" fontId="21" fillId="3" borderId="6" xfId="0" applyFont="1" applyFill="1" applyBorder="1" applyAlignment="1">
      <alignment horizontal="center" vertical="center" wrapText="1"/>
    </xf>
    <xf numFmtId="0" fontId="22" fillId="0" borderId="6" xfId="0" applyFont="1" applyBorder="1" applyAlignment="1">
      <alignment horizontal="center" vertical="center" wrapText="1"/>
    </xf>
    <xf numFmtId="2" fontId="23" fillId="5" borderId="6" xfId="0" applyNumberFormat="1" applyFont="1" applyFill="1" applyBorder="1" applyAlignment="1">
      <alignment horizontal="center" vertical="center"/>
    </xf>
    <xf numFmtId="0" fontId="22" fillId="7" borderId="6" xfId="0" applyFont="1" applyFill="1" applyBorder="1" applyAlignment="1">
      <alignment horizontal="center" vertical="center" wrapText="1"/>
    </xf>
    <xf numFmtId="2" fontId="14" fillId="7" borderId="6" xfId="0" applyNumberFormat="1" applyFont="1" applyFill="1" applyBorder="1" applyAlignment="1">
      <alignment horizontal="center" vertical="center"/>
    </xf>
    <xf numFmtId="2" fontId="14" fillId="11" borderId="6" xfId="0" applyNumberFormat="1" applyFont="1" applyFill="1" applyBorder="1" applyAlignment="1">
      <alignment horizontal="center" vertical="center"/>
    </xf>
    <xf numFmtId="0" fontId="24" fillId="5" borderId="4" xfId="0" applyFont="1" applyFill="1" applyBorder="1" applyAlignment="1">
      <alignment horizontal="left" vertical="center" wrapText="1"/>
    </xf>
    <xf numFmtId="0" fontId="13" fillId="3" borderId="2" xfId="0" applyFont="1" applyFill="1" applyBorder="1" applyAlignment="1">
      <alignment horizontal="center" vertical="center" wrapText="1"/>
    </xf>
    <xf numFmtId="0" fontId="12" fillId="6" borderId="5" xfId="0" applyFont="1" applyFill="1" applyBorder="1" applyAlignment="1">
      <alignment horizontal="left" vertical="center" wrapText="1"/>
    </xf>
    <xf numFmtId="0" fontId="25" fillId="0" borderId="6" xfId="0" applyFont="1" applyBorder="1" applyAlignment="1">
      <alignment horizontal="center" vertical="center" wrapText="1"/>
    </xf>
    <xf numFmtId="10" fontId="26" fillId="11" borderId="6" xfId="0" applyNumberFormat="1" applyFont="1" applyFill="1" applyBorder="1" applyAlignment="1">
      <alignment horizontal="center" vertical="center"/>
    </xf>
    <xf numFmtId="0" fontId="10" fillId="0" borderId="6" xfId="0" applyFont="1" applyBorder="1" applyAlignment="1">
      <alignment horizontal="left" vertical="center" wrapText="1"/>
    </xf>
    <xf numFmtId="0" fontId="25" fillId="7" borderId="6" xfId="0" applyFont="1" applyFill="1" applyBorder="1" applyAlignment="1">
      <alignment horizontal="center" vertical="center" wrapText="1"/>
    </xf>
    <xf numFmtId="10" fontId="26" fillId="7" borderId="6" xfId="0" applyNumberFormat="1" applyFont="1" applyFill="1" applyBorder="1" applyAlignment="1">
      <alignment horizontal="center" vertical="center"/>
    </xf>
    <xf numFmtId="0" fontId="10" fillId="7" borderId="6" xfId="0" applyFont="1" applyFill="1" applyBorder="1" applyAlignment="1">
      <alignment horizontal="left" vertical="center" wrapText="1"/>
    </xf>
    <xf numFmtId="0" fontId="23" fillId="5" borderId="6" xfId="0" applyFont="1" applyFill="1" applyBorder="1" applyAlignment="1">
      <alignment horizontal="center" vertical="center" wrapText="1"/>
    </xf>
    <xf numFmtId="0" fontId="27" fillId="5" borderId="6" xfId="0" applyFont="1" applyFill="1" applyBorder="1" applyAlignment="1">
      <alignment horizontal="center" vertical="center" wrapText="1"/>
    </xf>
    <xf numFmtId="0" fontId="25" fillId="5" borderId="6" xfId="0" applyFont="1" applyFill="1" applyBorder="1" applyAlignment="1">
      <alignment horizontal="center" vertical="center" wrapText="1"/>
    </xf>
    <xf numFmtId="10" fontId="28" fillId="5" borderId="6" xfId="0" applyNumberFormat="1" applyFont="1" applyFill="1" applyBorder="1" applyAlignment="1">
      <alignment horizontal="center" vertical="center"/>
    </xf>
    <xf numFmtId="0" fontId="9" fillId="5" borderId="6"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29" fillId="0" borderId="6" xfId="0" applyFont="1" applyBorder="1" applyAlignment="1">
      <alignment horizontal="left" vertical="center" wrapText="1"/>
    </xf>
    <xf numFmtId="0" fontId="30"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29" fillId="5" borderId="6" xfId="0" applyFont="1" applyFill="1" applyBorder="1" applyAlignment="1">
      <alignment horizontal="left" vertical="center" wrapText="1"/>
    </xf>
    <xf numFmtId="0" fontId="31" fillId="5" borderId="6" xfId="0" applyFont="1" applyFill="1" applyBorder="1" applyAlignment="1">
      <alignment horizontal="center" vertical="center" wrapText="1"/>
    </xf>
    <xf numFmtId="0" fontId="28" fillId="5" borderId="6" xfId="0" applyFont="1" applyFill="1" applyBorder="1" applyAlignment="1">
      <alignment horizontal="center" vertical="center" wrapText="1"/>
    </xf>
    <xf numFmtId="0" fontId="29" fillId="7" borderId="6" xfId="0" applyFont="1" applyFill="1" applyBorder="1" applyAlignment="1">
      <alignment horizontal="left" vertical="center" wrapText="1"/>
    </xf>
    <xf numFmtId="0" fontId="30" fillId="7" borderId="6" xfId="0" applyFont="1" applyFill="1" applyBorder="1" applyAlignment="1">
      <alignment horizontal="center" vertical="center" wrapText="1"/>
    </xf>
    <xf numFmtId="0" fontId="26" fillId="7" borderId="6" xfId="0" applyFont="1" applyFill="1" applyBorder="1" applyAlignment="1">
      <alignment horizontal="center" vertical="center" wrapText="1"/>
    </xf>
    <xf numFmtId="0" fontId="16" fillId="5" borderId="6" xfId="0" applyFont="1" applyFill="1" applyBorder="1" applyAlignment="1">
      <alignment horizontal="left" vertical="center" wrapText="1"/>
    </xf>
    <xf numFmtId="0" fontId="13" fillId="12" borderId="10"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32" fillId="3" borderId="2" xfId="0" applyFont="1" applyFill="1" applyBorder="1" applyAlignment="1">
      <alignment horizontal="left" vertical="center" wrapText="1"/>
    </xf>
    <xf numFmtId="0" fontId="33" fillId="5"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openlibrary.org/books/OL5063071M/Fundamental_research_statistics_for_the_behavioral_sciences" TargetMode="External"/><Relationship Id="rId2" Type="http://schemas.openxmlformats.org/officeDocument/2006/relationships/hyperlink" Target="https://www.researchgate.net/publication/265350313_Multivariate_Data_Analysis" TargetMode="External"/><Relationship Id="rId3" Type="http://schemas.openxmlformats.org/officeDocument/2006/relationships/hyperlink" Target="https://www.pearson.com/en-us/subject-catalog/p/probability-statistics-for-engineers-scientists/P200000003295" TargetMode="External"/><Relationship Id="rId4" Type="http://schemas.openxmlformats.org/officeDocument/2006/relationships/hyperlink" Target="https://doi.org/10.1145/169059.169166" TargetMode="External"/><Relationship Id="rId5" Type="http://schemas.openxmlformats.org/officeDocument/2006/relationships/hyperlink" Target="https://www.pearson.com/en-us/subject-catalog/p/educational-research-competencies-for-analysis-and-applications/P200000002888" TargetMode="External"/><Relationship Id="rId6" Type="http://schemas.openxmlformats.org/officeDocument/2006/relationships/hyperlink" Target="https://www.researchgate.net/publication/2852264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8"/>
  <sheetViews>
    <sheetView workbookViewId="0" showGridLines="0"/>
  </sheetViews>
  <sheetFormatPr defaultRowHeight="15" outlineLevelRow="0" outlineLevelCol="0" x14ac:dyDescent="55"/>
  <cols>
    <col min="1" max="1" width="3" customWidth="1"/>
    <col min="2" max="2" width="24" customWidth="1"/>
    <col min="3" max="3" width="32" customWidth="1"/>
    <col min="4" max="4" width="38" customWidth="1"/>
    <col min="5" max="5" width="22" customWidth="1"/>
  </cols>
  <sheetData>
    <row r="1" ht="10" customHeight="1" x14ac:dyDescent="0.25"/>
    <row r="2" ht="54" customHeight="1" spans="2:5" x14ac:dyDescent="0.25">
      <c r="B2" s="1" t="s">
        <v>0</v>
      </c>
      <c r="C2" s="1"/>
      <c r="D2" s="1"/>
      <c r="E2" s="1"/>
    </row>
    <row r="3" ht="24" customHeight="1" spans="2:5" x14ac:dyDescent="0.25">
      <c r="B3" s="2" t="s">
        <v>1</v>
      </c>
      <c r="C3" s="2"/>
      <c r="D3" s="2"/>
      <c r="E3" s="2"/>
    </row>
    <row r="4" ht="10" customHeight="1" x14ac:dyDescent="0.25"/>
    <row r="5" ht="26" customHeight="1" spans="2:5" x14ac:dyDescent="0.25">
      <c r="B5" s="3" t="s">
        <v>2</v>
      </c>
      <c r="C5" s="3"/>
      <c r="D5" s="3"/>
      <c r="E5" s="3"/>
    </row>
    <row r="6" ht="75" customHeight="1" spans="2:5" x14ac:dyDescent="0.25">
      <c r="B6" s="4" t="s">
        <v>3</v>
      </c>
      <c r="C6" s="4"/>
      <c r="D6" s="4"/>
      <c r="E6" s="4"/>
    </row>
    <row r="8" ht="26" customHeight="1" spans="2:5" x14ac:dyDescent="0.25">
      <c r="B8" s="5" t="s">
        <v>4</v>
      </c>
      <c r="C8" s="5"/>
      <c r="D8" s="5"/>
      <c r="E8" s="5"/>
    </row>
    <row r="9" ht="24" customHeight="1" spans="2:5" x14ac:dyDescent="0.25">
      <c r="B9" s="6" t="s">
        <v>5</v>
      </c>
      <c r="C9" s="7" t="s">
        <v>6</v>
      </c>
      <c r="D9" s="7" t="s">
        <v>7</v>
      </c>
      <c r="E9" s="6" t="s">
        <v>8</v>
      </c>
    </row>
    <row r="10" ht="42" customHeight="1" spans="2:5" x14ac:dyDescent="0.25">
      <c r="B10" s="8" t="s">
        <v>9</v>
      </c>
      <c r="C10" s="9" t="s">
        <v>10</v>
      </c>
      <c r="D10" s="10" t="s">
        <v>11</v>
      </c>
      <c r="E10" s="11" t="s">
        <v>12</v>
      </c>
    </row>
    <row r="11" ht="42" customHeight="1" spans="2:5" x14ac:dyDescent="0.25">
      <c r="B11" s="12" t="s">
        <v>13</v>
      </c>
      <c r="C11" s="13" t="s">
        <v>14</v>
      </c>
      <c r="D11" s="14" t="s">
        <v>15</v>
      </c>
      <c r="E11" s="11" t="s">
        <v>16</v>
      </c>
    </row>
    <row r="12" ht="42" customHeight="1" spans="2:5" x14ac:dyDescent="0.25">
      <c r="B12" s="8" t="s">
        <v>17</v>
      </c>
      <c r="C12" s="9" t="s">
        <v>18</v>
      </c>
      <c r="D12" s="10" t="s">
        <v>19</v>
      </c>
      <c r="E12" s="11" t="s">
        <v>20</v>
      </c>
    </row>
    <row r="13" ht="42" customHeight="1" spans="2:5" x14ac:dyDescent="0.25">
      <c r="B13" s="12" t="s">
        <v>21</v>
      </c>
      <c r="C13" s="13" t="s">
        <v>22</v>
      </c>
      <c r="D13" s="14" t="s">
        <v>23</v>
      </c>
      <c r="E13" s="15" t="s">
        <v>24</v>
      </c>
    </row>
    <row r="14" ht="42" customHeight="1" spans="2:5" x14ac:dyDescent="0.25">
      <c r="B14" s="8" t="s">
        <v>25</v>
      </c>
      <c r="C14" s="9" t="s">
        <v>26</v>
      </c>
      <c r="D14" s="10" t="s">
        <v>27</v>
      </c>
      <c r="E14" s="16" t="s">
        <v>28</v>
      </c>
    </row>
    <row r="15" ht="42" customHeight="1" spans="2:5" x14ac:dyDescent="0.25">
      <c r="B15" s="12" t="s">
        <v>29</v>
      </c>
      <c r="C15" s="13" t="s">
        <v>30</v>
      </c>
      <c r="D15" s="14" t="s">
        <v>31</v>
      </c>
      <c r="E15" s="17" t="s">
        <v>32</v>
      </c>
    </row>
    <row r="17" spans="2:5" x14ac:dyDescent="0.25">
      <c r="B17" s="18" t="s">
        <v>33</v>
      </c>
      <c r="C17" s="18"/>
      <c r="D17" s="18"/>
      <c r="E17" s="18"/>
    </row>
    <row r="18" ht="50" customHeight="1" spans="2:5" x14ac:dyDescent="0.25">
      <c r="B18" s="19" t="s">
        <v>34</v>
      </c>
      <c r="C18" s="19"/>
      <c r="D18" s="19"/>
      <c r="E18" s="19"/>
    </row>
  </sheetData>
  <mergeCells count="7">
    <mergeCell ref="B2:E2"/>
    <mergeCell ref="B3:E3"/>
    <mergeCell ref="B5:E5"/>
    <mergeCell ref="B6:E6"/>
    <mergeCell ref="B8:E8"/>
    <mergeCell ref="B17:E17"/>
    <mergeCell ref="B18:E1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0"/>
  <sheetViews>
    <sheetView workbookViewId="0" showGridLines="0"/>
  </sheetViews>
  <sheetFormatPr defaultRowHeight="15" outlineLevelRow="0" outlineLevelCol="0" x14ac:dyDescent="55"/>
  <cols>
    <col min="1" max="1" width="3" customWidth="1"/>
    <col min="2" max="2" width="6" customWidth="1"/>
    <col min="3" max="3" width="22" customWidth="1"/>
    <col min="4" max="4" width="28" customWidth="1"/>
    <col min="5" max="5" width="36" customWidth="1"/>
    <col min="6" max="7" width="28" customWidth="1"/>
    <col min="8" max="8" width="14" customWidth="1"/>
    <col min="9" max="9" width="16" customWidth="1"/>
    <col min="10" max="10" width="44" customWidth="1"/>
  </cols>
  <sheetData>
    <row r="1" ht="10" customHeight="1" x14ac:dyDescent="0.25"/>
    <row r="2" ht="45" customHeight="1" spans="2:10" x14ac:dyDescent="0.25">
      <c r="B2" s="20" t="s">
        <v>35</v>
      </c>
      <c r="C2" s="20"/>
      <c r="D2" s="20"/>
      <c r="E2" s="20"/>
      <c r="F2" s="20"/>
      <c r="G2" s="20"/>
      <c r="H2" s="20"/>
      <c r="I2" s="20"/>
      <c r="J2" s="20"/>
    </row>
    <row r="4" ht="26" customHeight="1" spans="2:10" x14ac:dyDescent="0.25">
      <c r="B4" s="6" t="s">
        <v>36</v>
      </c>
      <c r="C4" s="6" t="s">
        <v>37</v>
      </c>
      <c r="D4" s="7" t="s">
        <v>38</v>
      </c>
      <c r="E4" s="7" t="s">
        <v>39</v>
      </c>
      <c r="F4" s="7" t="s">
        <v>40</v>
      </c>
      <c r="G4" s="7" t="s">
        <v>41</v>
      </c>
      <c r="H4" s="6" t="s">
        <v>42</v>
      </c>
      <c r="I4" s="6" t="s">
        <v>43</v>
      </c>
      <c r="J4" s="6" t="s">
        <v>44</v>
      </c>
    </row>
    <row r="5" ht="68" customHeight="1" spans="2:10" x14ac:dyDescent="0.25">
      <c r="B5" s="21" t="s">
        <v>45</v>
      </c>
      <c r="C5" s="8" t="s">
        <v>46</v>
      </c>
      <c r="D5" s="22" t="s">
        <v>47</v>
      </c>
      <c r="E5" s="10" t="s">
        <v>48</v>
      </c>
      <c r="F5" s="23" t="s">
        <v>49</v>
      </c>
      <c r="G5" s="24" t="s">
        <v>50</v>
      </c>
      <c r="H5" s="25" t="s">
        <v>51</v>
      </c>
      <c r="I5" s="11" t="s">
        <v>52</v>
      </c>
      <c r="J5" s="26" t="s">
        <v>53</v>
      </c>
    </row>
    <row r="6" ht="68" customHeight="1" spans="2:10" x14ac:dyDescent="0.25">
      <c r="B6" s="27" t="s">
        <v>54</v>
      </c>
      <c r="C6" s="12" t="s">
        <v>55</v>
      </c>
      <c r="D6" s="28" t="s">
        <v>56</v>
      </c>
      <c r="E6" s="14" t="s">
        <v>57</v>
      </c>
      <c r="F6" s="29" t="s">
        <v>58</v>
      </c>
      <c r="G6" s="30" t="s">
        <v>59</v>
      </c>
      <c r="H6" s="31" t="s">
        <v>60</v>
      </c>
      <c r="I6" s="11" t="s">
        <v>61</v>
      </c>
      <c r="J6" s="32" t="s">
        <v>62</v>
      </c>
    </row>
    <row r="7" ht="68" customHeight="1" spans="2:10" x14ac:dyDescent="0.25">
      <c r="B7" s="21" t="s">
        <v>63</v>
      </c>
      <c r="C7" s="8" t="s">
        <v>64</v>
      </c>
      <c r="D7" s="22" t="s">
        <v>65</v>
      </c>
      <c r="E7" s="10" t="s">
        <v>66</v>
      </c>
      <c r="F7" s="23" t="s">
        <v>67</v>
      </c>
      <c r="G7" s="24" t="s">
        <v>68</v>
      </c>
      <c r="H7" s="25" t="s">
        <v>69</v>
      </c>
      <c r="I7" s="11" t="s">
        <v>20</v>
      </c>
      <c r="J7" s="26" t="s">
        <v>70</v>
      </c>
    </row>
    <row r="8" ht="68" customHeight="1" spans="2:10" x14ac:dyDescent="0.25">
      <c r="B8" s="27" t="s">
        <v>71</v>
      </c>
      <c r="C8" s="12" t="s">
        <v>72</v>
      </c>
      <c r="D8" s="28" t="s">
        <v>73</v>
      </c>
      <c r="E8" s="14" t="s">
        <v>74</v>
      </c>
      <c r="F8" s="29" t="s">
        <v>75</v>
      </c>
      <c r="G8" s="30" t="s">
        <v>76</v>
      </c>
      <c r="H8" s="31" t="s">
        <v>77</v>
      </c>
      <c r="I8" s="15" t="s">
        <v>78</v>
      </c>
      <c r="J8" s="32" t="s">
        <v>79</v>
      </c>
    </row>
    <row r="9" ht="68" customHeight="1" spans="2:10" x14ac:dyDescent="0.25">
      <c r="B9" s="21" t="s">
        <v>80</v>
      </c>
      <c r="C9" s="8" t="s">
        <v>81</v>
      </c>
      <c r="D9" s="22" t="s">
        <v>82</v>
      </c>
      <c r="E9" s="10" t="s">
        <v>83</v>
      </c>
      <c r="F9" s="23" t="s">
        <v>84</v>
      </c>
      <c r="G9" s="24" t="s">
        <v>85</v>
      </c>
      <c r="H9" s="25" t="s">
        <v>86</v>
      </c>
      <c r="I9" s="16" t="s">
        <v>28</v>
      </c>
      <c r="J9" s="26" t="s">
        <v>87</v>
      </c>
    </row>
    <row r="10" ht="68" customHeight="1" spans="2:10" x14ac:dyDescent="0.25">
      <c r="B10" s="27" t="s">
        <v>88</v>
      </c>
      <c r="C10" s="12" t="s">
        <v>89</v>
      </c>
      <c r="D10" s="28" t="s">
        <v>90</v>
      </c>
      <c r="E10" s="14" t="s">
        <v>91</v>
      </c>
      <c r="F10" s="29" t="s">
        <v>92</v>
      </c>
      <c r="G10" s="30" t="s">
        <v>93</v>
      </c>
      <c r="H10" s="31" t="s">
        <v>94</v>
      </c>
      <c r="I10" s="17" t="s">
        <v>32</v>
      </c>
      <c r="J10" s="32" t="s">
        <v>95</v>
      </c>
    </row>
  </sheetData>
  <mergeCells count="1">
    <mergeCell ref="B2:J2"/>
  </mergeCells>
  <hyperlinks>
    <hyperlink ref="J5" r:id="rId1" tooltip="Buka rujukan resmi: https://openlibrary.org/books/OL5063071M/Fundamental_research_statistics_for_the_behavioral_sciences"/>
    <hyperlink ref="J6" r:id="rId2" tooltip="Buka rujukan resmi: https://www.researchgate.net/publication/265350313_Multivariate_Data_Analysis"/>
    <hyperlink ref="J7" r:id="rId3" tooltip="Buka rujukan resmi: https://www.pearson.com/en-us/subject-catalog/p/probability-statistics-for-engineers-scientists/P200000003295"/>
    <hyperlink ref="J8" r:id="rId4" tooltip="Buka rujukan resmi: https://doi.org/10.1145/169059.169166"/>
    <hyperlink ref="J9" r:id="rId5" tooltip="Buka rujukan resmi: https://www.pearson.com/en-us/subject-catalog/p/educational-research-competencies-for-analysis-and-applications/P200000002888"/>
    <hyperlink ref="J10" r:id="rId6" tooltip="Buka rujukan resmi: https://www.researchgate.net/publication/285226466"/>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3"/>
  <sheetViews>
    <sheetView workbookViewId="0" showGridLines="0"/>
  </sheetViews>
  <sheetFormatPr defaultRowHeight="15" outlineLevelRow="0" outlineLevelCol="0" x14ac:dyDescent="55"/>
  <cols>
    <col min="1" max="1" width="3" customWidth="1"/>
    <col min="2" max="2" width="6" customWidth="1"/>
    <col min="3" max="3" width="24" customWidth="1"/>
    <col min="4" max="9" width="14" customWidth="1"/>
    <col min="10" max="10" width="16" customWidth="1"/>
  </cols>
  <sheetData>
    <row r="1" ht="10" customHeight="1" x14ac:dyDescent="0.25"/>
    <row r="2" ht="45" customHeight="1" spans="2:10" x14ac:dyDescent="0.25">
      <c r="B2" s="33" t="s">
        <v>96</v>
      </c>
      <c r="C2" s="33"/>
      <c r="D2" s="33"/>
      <c r="E2" s="33"/>
      <c r="F2" s="33"/>
      <c r="G2" s="33"/>
      <c r="H2" s="33"/>
      <c r="I2" s="33"/>
      <c r="J2" s="33"/>
    </row>
    <row r="3" ht="28" customHeight="1" spans="2:10" x14ac:dyDescent="0.25">
      <c r="B3" s="34" t="s">
        <v>97</v>
      </c>
      <c r="C3" s="34"/>
      <c r="D3" s="34"/>
      <c r="E3" s="34"/>
      <c r="F3" s="34"/>
      <c r="G3" s="34"/>
      <c r="H3" s="34"/>
      <c r="I3" s="34"/>
      <c r="J3" s="34"/>
    </row>
    <row r="4" ht="24" customHeight="1" spans="2:10" x14ac:dyDescent="0.25">
      <c r="B4" s="6" t="s">
        <v>36</v>
      </c>
      <c r="C4" s="7" t="s">
        <v>98</v>
      </c>
      <c r="D4" s="35" t="s">
        <v>99</v>
      </c>
      <c r="E4" s="35" t="s">
        <v>100</v>
      </c>
      <c r="F4" s="35" t="s">
        <v>101</v>
      </c>
      <c r="G4" s="35" t="s">
        <v>102</v>
      </c>
      <c r="H4" s="35" t="s">
        <v>103</v>
      </c>
      <c r="I4" s="6" t="s">
        <v>104</v>
      </c>
      <c r="J4" s="6" t="s">
        <v>105</v>
      </c>
    </row>
    <row r="5" ht="30" customHeight="1" spans="2:10" x14ac:dyDescent="0.25">
      <c r="B5" s="21" t="s">
        <v>45</v>
      </c>
      <c r="C5" s="8" t="s">
        <v>106</v>
      </c>
      <c r="D5" s="36">
        <v>9</v>
      </c>
      <c r="E5" s="36">
        <v>9</v>
      </c>
      <c r="F5" s="36">
        <v>9</v>
      </c>
      <c r="G5" s="36">
        <v>10</v>
      </c>
      <c r="H5" s="36">
        <v>9.5</v>
      </c>
      <c r="I5" s="37">
        <f>(D5*0.25)+(E5*0.20)+(F5*0.25)+(G5*0.20)+(H5*0.10)</f>
      </c>
      <c r="J5" s="11" t="s">
        <v>107</v>
      </c>
    </row>
    <row r="6" ht="30" customHeight="1" spans="2:10" x14ac:dyDescent="0.25">
      <c r="B6" s="27" t="s">
        <v>54</v>
      </c>
      <c r="C6" s="12" t="s">
        <v>108</v>
      </c>
      <c r="D6" s="38">
        <v>9</v>
      </c>
      <c r="E6" s="38">
        <v>8.5</v>
      </c>
      <c r="F6" s="38">
        <v>9.5</v>
      </c>
      <c r="G6" s="38">
        <v>9</v>
      </c>
      <c r="H6" s="38">
        <v>9</v>
      </c>
      <c r="I6" s="37">
        <f>(D6*0.25)+(E6*0.20)+(F6*0.25)+(G6*0.20)+(H6*0.10)</f>
      </c>
      <c r="J6" s="11" t="s">
        <v>109</v>
      </c>
    </row>
    <row r="7" ht="30" customHeight="1" spans="2:10" x14ac:dyDescent="0.25">
      <c r="B7" s="21" t="s">
        <v>63</v>
      </c>
      <c r="C7" s="8" t="s">
        <v>110</v>
      </c>
      <c r="D7" s="36">
        <v>8.5</v>
      </c>
      <c r="E7" s="36">
        <v>9</v>
      </c>
      <c r="F7" s="36">
        <v>10</v>
      </c>
      <c r="G7" s="36">
        <v>9.5</v>
      </c>
      <c r="H7" s="36">
        <v>9</v>
      </c>
      <c r="I7" s="37">
        <f>(D7*0.25)+(E7*0.20)+(F7*0.25)+(G7*0.20)+(H7*0.10)</f>
      </c>
      <c r="J7" s="11" t="s">
        <v>111</v>
      </c>
    </row>
    <row r="8" ht="30" customHeight="1" spans="2:10" x14ac:dyDescent="0.25">
      <c r="B8" s="27" t="s">
        <v>71</v>
      </c>
      <c r="C8" s="12" t="s">
        <v>112</v>
      </c>
      <c r="D8" s="38">
        <v>9.5</v>
      </c>
      <c r="E8" s="38">
        <v>10</v>
      </c>
      <c r="F8" s="38">
        <v>7</v>
      </c>
      <c r="G8" s="38">
        <v>8</v>
      </c>
      <c r="H8" s="38">
        <v>9</v>
      </c>
      <c r="I8" s="39">
        <f>(D8*0.25)+(E8*0.20)+(F8*0.25)+(G8*0.20)+(H8*0.10)</f>
      </c>
      <c r="J8" s="15" t="s">
        <v>113</v>
      </c>
    </row>
    <row r="9" ht="30" customHeight="1" spans="2:10" x14ac:dyDescent="0.25">
      <c r="B9" s="21" t="s">
        <v>80</v>
      </c>
      <c r="C9" s="8" t="s">
        <v>114</v>
      </c>
      <c r="D9" s="36">
        <v>8</v>
      </c>
      <c r="E9" s="36">
        <v>9</v>
      </c>
      <c r="F9" s="36">
        <v>8.5</v>
      </c>
      <c r="G9" s="36">
        <v>9</v>
      </c>
      <c r="H9" s="36">
        <v>8.5</v>
      </c>
      <c r="I9" s="40">
        <f>(D9*0.25)+(E9*0.20)+(F9*0.25)+(G9*0.20)+(H9*0.10)</f>
      </c>
      <c r="J9" s="16" t="s">
        <v>115</v>
      </c>
    </row>
    <row r="10" ht="30" customHeight="1" spans="2:10" x14ac:dyDescent="0.25">
      <c r="B10" s="27" t="s">
        <v>88</v>
      </c>
      <c r="C10" s="12" t="s">
        <v>116</v>
      </c>
      <c r="D10" s="38">
        <v>6</v>
      </c>
      <c r="E10" s="38">
        <v>6.5</v>
      </c>
      <c r="F10" s="38">
        <v>7.5</v>
      </c>
      <c r="G10" s="38">
        <v>7</v>
      </c>
      <c r="H10" s="38">
        <v>7</v>
      </c>
      <c r="I10" s="39">
        <f>(D10*0.25)+(E10*0.20)+(F10*0.25)+(G10*0.20)+(H10*0.10)</f>
      </c>
      <c r="J10" s="17" t="s">
        <v>117</v>
      </c>
    </row>
    <row r="12" spans="2:10" x14ac:dyDescent="0.25">
      <c r="B12" s="18" t="s">
        <v>118</v>
      </c>
      <c r="C12" s="18"/>
      <c r="D12" s="18"/>
      <c r="E12" s="18"/>
      <c r="F12" s="18"/>
      <c r="G12" s="18"/>
      <c r="H12" s="18"/>
      <c r="I12" s="18"/>
      <c r="J12" s="18"/>
    </row>
    <row r="13" ht="65" customHeight="1" spans="2:10" x14ac:dyDescent="0.25">
      <c r="B13" s="41" t="s">
        <v>119</v>
      </c>
      <c r="C13" s="41"/>
      <c r="D13" s="41"/>
      <c r="E13" s="41"/>
      <c r="F13" s="41"/>
      <c r="G13" s="41"/>
      <c r="H13" s="41"/>
      <c r="I13" s="41"/>
      <c r="J13" s="41"/>
    </row>
  </sheetData>
  <mergeCells count="4">
    <mergeCell ref="B2:J2"/>
    <mergeCell ref="B3:J3"/>
    <mergeCell ref="B12:J12"/>
    <mergeCell ref="B13:J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6"/>
  <sheetViews>
    <sheetView workbookViewId="0" showGridLines="0"/>
  </sheetViews>
  <sheetFormatPr defaultRowHeight="15" outlineLevelRow="0" outlineLevelCol="0" x14ac:dyDescent="55"/>
  <cols>
    <col min="1" max="1" width="3" customWidth="1"/>
    <col min="2" max="2" width="14" customWidth="1"/>
    <col min="3" max="3" width="18" customWidth="1"/>
    <col min="4" max="4" width="22" customWidth="1"/>
    <col min="5" max="5" width="26" customWidth="1"/>
    <col min="6" max="6" width="24" customWidth="1"/>
  </cols>
  <sheetData>
    <row r="1" ht="10" customHeight="1" x14ac:dyDescent="0.25"/>
    <row r="2" ht="42" customHeight="1" spans="2:6" x14ac:dyDescent="0.25">
      <c r="B2" s="42" t="s">
        <v>120</v>
      </c>
      <c r="C2" s="42"/>
      <c r="D2" s="42"/>
      <c r="E2" s="42"/>
      <c r="F2" s="42"/>
    </row>
    <row r="4" spans="2:6" x14ac:dyDescent="0.25">
      <c r="B4" s="43" t="s">
        <v>121</v>
      </c>
      <c r="C4" s="43"/>
      <c r="D4" s="43"/>
      <c r="E4" s="43"/>
      <c r="F4" s="43"/>
    </row>
    <row r="5" ht="24" customHeight="1" spans="2:6" x14ac:dyDescent="0.25">
      <c r="B5" s="6" t="s">
        <v>122</v>
      </c>
      <c r="C5" s="6" t="s">
        <v>123</v>
      </c>
      <c r="D5" s="6" t="s">
        <v>124</v>
      </c>
      <c r="E5" s="6" t="s">
        <v>125</v>
      </c>
      <c r="F5" s="6" t="s">
        <v>126</v>
      </c>
    </row>
    <row r="6" ht="24" customHeight="1" spans="2:6" x14ac:dyDescent="0.25">
      <c r="B6" s="21" t="s">
        <v>127</v>
      </c>
      <c r="C6" s="36">
        <v>0.31</v>
      </c>
      <c r="D6" s="44" t="s">
        <v>128</v>
      </c>
      <c r="E6" s="45">
        <f>1-(1-C6)^1</f>
      </c>
      <c r="F6" s="46" t="s">
        <v>129</v>
      </c>
    </row>
    <row r="7" ht="24" customHeight="1" spans="2:6" x14ac:dyDescent="0.25">
      <c r="B7" s="27" t="s">
        <v>130</v>
      </c>
      <c r="C7" s="38">
        <v>0.31</v>
      </c>
      <c r="D7" s="47" t="s">
        <v>131</v>
      </c>
      <c r="E7" s="48">
        <f>1-(1-C7)^3</f>
      </c>
      <c r="F7" s="49" t="s">
        <v>132</v>
      </c>
    </row>
    <row r="8" ht="24" customHeight="1" spans="2:6" x14ac:dyDescent="0.25">
      <c r="B8" s="21" t="s">
        <v>133</v>
      </c>
      <c r="C8" s="36">
        <v>0.31</v>
      </c>
      <c r="D8" s="44" t="s">
        <v>134</v>
      </c>
      <c r="E8" s="45">
        <f>1-(1-C8)^5</f>
      </c>
      <c r="F8" s="46" t="s">
        <v>135</v>
      </c>
    </row>
    <row r="9" ht="24" customHeight="1" spans="2:6" x14ac:dyDescent="0.25">
      <c r="B9" s="27" t="s">
        <v>136</v>
      </c>
      <c r="C9" s="38">
        <v>0.31</v>
      </c>
      <c r="D9" s="47" t="s">
        <v>137</v>
      </c>
      <c r="E9" s="48">
        <f>1-(1-C9)^10</f>
      </c>
      <c r="F9" s="49" t="s">
        <v>138</v>
      </c>
    </row>
    <row r="10" ht="24" customHeight="1" spans="2:6" x14ac:dyDescent="0.25">
      <c r="B10" s="21" t="s">
        <v>139</v>
      </c>
      <c r="C10" s="36">
        <v>0.31</v>
      </c>
      <c r="D10" s="44" t="s">
        <v>140</v>
      </c>
      <c r="E10" s="45">
        <f>1-(1-C10)^15</f>
      </c>
      <c r="F10" s="46" t="s">
        <v>141</v>
      </c>
    </row>
    <row r="11" ht="24" customHeight="1" spans="2:6" x14ac:dyDescent="0.25">
      <c r="B11" s="27" t="s">
        <v>142</v>
      </c>
      <c r="C11" s="38">
        <v>0.31</v>
      </c>
      <c r="D11" s="47" t="s">
        <v>143</v>
      </c>
      <c r="E11" s="48">
        <f>1-(1-C11)^20</f>
      </c>
      <c r="F11" s="49" t="s">
        <v>144</v>
      </c>
    </row>
    <row r="12" ht="24" customHeight="1" spans="2:6" x14ac:dyDescent="0.25">
      <c r="B12" s="50" t="s">
        <v>145</v>
      </c>
      <c r="C12" s="51">
        <v>0.31</v>
      </c>
      <c r="D12" s="52" t="s">
        <v>146</v>
      </c>
      <c r="E12" s="53">
        <f>1-(1-C12)^30</f>
      </c>
      <c r="F12" s="54" t="s">
        <v>147</v>
      </c>
    </row>
    <row r="14" spans="2:6" x14ac:dyDescent="0.25">
      <c r="B14" s="55" t="s">
        <v>148</v>
      </c>
      <c r="C14" s="55"/>
      <c r="D14" s="55"/>
      <c r="E14" s="55"/>
      <c r="F14" s="55"/>
    </row>
    <row r="15" ht="24" customHeight="1" spans="2:6" x14ac:dyDescent="0.25">
      <c r="B15" s="6" t="s">
        <v>149</v>
      </c>
      <c r="C15" s="6" t="s">
        <v>150</v>
      </c>
      <c r="D15" s="7" t="s">
        <v>151</v>
      </c>
      <c r="E15" s="6" t="s">
        <v>152</v>
      </c>
      <c r="F15" s="6" t="s">
        <v>153</v>
      </c>
    </row>
    <row r="16" ht="26" customHeight="1" spans="2:6" x14ac:dyDescent="0.25">
      <c r="B16" s="21" t="s">
        <v>154</v>
      </c>
      <c r="C16" s="36">
        <v>5</v>
      </c>
      <c r="D16" s="56" t="s">
        <v>155</v>
      </c>
      <c r="E16" s="57" t="s">
        <v>156</v>
      </c>
      <c r="F16" s="58" t="s">
        <v>157</v>
      </c>
    </row>
    <row r="17" ht="26" customHeight="1" spans="2:6" x14ac:dyDescent="0.25">
      <c r="B17" s="50" t="s">
        <v>158</v>
      </c>
      <c r="C17" s="51">
        <v>5</v>
      </c>
      <c r="D17" s="59" t="s">
        <v>155</v>
      </c>
      <c r="E17" s="60" t="s">
        <v>159</v>
      </c>
      <c r="F17" s="61" t="s">
        <v>160</v>
      </c>
    </row>
    <row r="18" ht="26" customHeight="1" spans="2:6" x14ac:dyDescent="0.25">
      <c r="B18" s="21" t="s">
        <v>161</v>
      </c>
      <c r="C18" s="36">
        <v>5</v>
      </c>
      <c r="D18" s="56" t="s">
        <v>155</v>
      </c>
      <c r="E18" s="57" t="s">
        <v>162</v>
      </c>
      <c r="F18" s="58" t="s">
        <v>163</v>
      </c>
    </row>
    <row r="19" ht="26" customHeight="1" spans="2:6" x14ac:dyDescent="0.25">
      <c r="B19" s="27" t="s">
        <v>164</v>
      </c>
      <c r="C19" s="38">
        <v>5</v>
      </c>
      <c r="D19" s="62" t="s">
        <v>155</v>
      </c>
      <c r="E19" s="63" t="s">
        <v>165</v>
      </c>
      <c r="F19" s="64" t="s">
        <v>166</v>
      </c>
    </row>
    <row r="21" spans="2:6" x14ac:dyDescent="0.25">
      <c r="B21" s="18" t="s">
        <v>167</v>
      </c>
      <c r="C21" s="18"/>
      <c r="D21" s="18"/>
      <c r="E21" s="18"/>
      <c r="F21" s="18"/>
    </row>
    <row r="22" ht="24" customHeight="1" spans="2:6" x14ac:dyDescent="0.25">
      <c r="B22" s="6" t="s">
        <v>168</v>
      </c>
      <c r="C22" s="6" t="s">
        <v>169</v>
      </c>
      <c r="D22" s="6" t="s">
        <v>170</v>
      </c>
      <c r="E22" s="6" t="s">
        <v>171</v>
      </c>
      <c r="F22" s="6" t="s">
        <v>172</v>
      </c>
    </row>
    <row r="23" ht="26" customHeight="1" spans="2:6" x14ac:dyDescent="0.25">
      <c r="B23" s="36" t="s">
        <v>173</v>
      </c>
      <c r="C23" s="21" t="s">
        <v>174</v>
      </c>
      <c r="D23" s="44" t="s">
        <v>175</v>
      </c>
      <c r="E23" s="57" t="s">
        <v>176</v>
      </c>
      <c r="F23" s="10" t="s">
        <v>177</v>
      </c>
    </row>
    <row r="24" ht="26" customHeight="1" spans="2:6" x14ac:dyDescent="0.25">
      <c r="B24" s="38" t="s">
        <v>173</v>
      </c>
      <c r="C24" s="27" t="s">
        <v>178</v>
      </c>
      <c r="D24" s="47" t="s">
        <v>179</v>
      </c>
      <c r="E24" s="63" t="s">
        <v>180</v>
      </c>
      <c r="F24" s="14" t="s">
        <v>181</v>
      </c>
    </row>
    <row r="25" ht="26" customHeight="1" spans="2:6" x14ac:dyDescent="0.25">
      <c r="B25" s="36" t="s">
        <v>173</v>
      </c>
      <c r="C25" s="21" t="s">
        <v>182</v>
      </c>
      <c r="D25" s="44" t="s">
        <v>183</v>
      </c>
      <c r="E25" s="57" t="s">
        <v>162</v>
      </c>
      <c r="F25" s="10" t="s">
        <v>184</v>
      </c>
    </row>
    <row r="26" ht="26" customHeight="1" spans="2:6" x14ac:dyDescent="0.25">
      <c r="B26" s="51" t="s">
        <v>173</v>
      </c>
      <c r="C26" s="50" t="s">
        <v>185</v>
      </c>
      <c r="D26" s="52" t="s">
        <v>186</v>
      </c>
      <c r="E26" s="60" t="s">
        <v>159</v>
      </c>
      <c r="F26" s="65" t="s">
        <v>187</v>
      </c>
    </row>
  </sheetData>
  <mergeCells count="4">
    <mergeCell ref="B2:F2"/>
    <mergeCell ref="B4:F4"/>
    <mergeCell ref="B14:F14"/>
    <mergeCell ref="B21:F2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4"/>
  <sheetViews>
    <sheetView workbookViewId="0" showGridLines="0"/>
  </sheetViews>
  <sheetFormatPr defaultRowHeight="15" outlineLevelRow="0" outlineLevelCol="0" x14ac:dyDescent="55"/>
  <cols>
    <col min="1" max="1" width="3" customWidth="1"/>
    <col min="2" max="2" width="6" customWidth="1"/>
    <col min="3" max="3" width="30" customWidth="1"/>
    <col min="4" max="4" width="65" customWidth="1"/>
  </cols>
  <sheetData>
    <row r="1" ht="10" customHeight="1" x14ac:dyDescent="0.25"/>
    <row r="2" ht="45" customHeight="1" spans="2:4" x14ac:dyDescent="0.25">
      <c r="B2" s="66" t="s">
        <v>188</v>
      </c>
      <c r="C2" s="66"/>
      <c r="D2" s="66"/>
    </row>
    <row r="4" ht="40" customHeight="1" spans="2:4" x14ac:dyDescent="0.25">
      <c r="B4" s="67" t="s">
        <v>189</v>
      </c>
      <c r="C4" s="68" t="s">
        <v>190</v>
      </c>
      <c r="D4" s="68"/>
    </row>
    <row r="5" ht="140" customHeight="1" spans="2:4" x14ac:dyDescent="0.25">
      <c r="B5" s="69" t="s">
        <v>191</v>
      </c>
      <c r="C5" s="19" t="s">
        <v>192</v>
      </c>
      <c r="D5" s="19"/>
    </row>
    <row r="7" ht="40" customHeight="1" spans="2:4" x14ac:dyDescent="0.25">
      <c r="B7" s="67" t="s">
        <v>193</v>
      </c>
      <c r="C7" s="68" t="s">
        <v>194</v>
      </c>
      <c r="D7" s="68"/>
    </row>
    <row r="8" ht="140" customHeight="1" spans="2:4" x14ac:dyDescent="0.25">
      <c r="B8" s="69" t="s">
        <v>191</v>
      </c>
      <c r="C8" s="19" t="s">
        <v>195</v>
      </c>
      <c r="D8" s="19"/>
    </row>
    <row r="10" ht="40" customHeight="1" spans="2:4" x14ac:dyDescent="0.25">
      <c r="B10" s="67" t="s">
        <v>196</v>
      </c>
      <c r="C10" s="68" t="s">
        <v>197</v>
      </c>
      <c r="D10" s="68"/>
    </row>
    <row r="11" ht="140" customHeight="1" spans="2:4" x14ac:dyDescent="0.25">
      <c r="B11" s="69" t="s">
        <v>191</v>
      </c>
      <c r="C11" s="19" t="s">
        <v>198</v>
      </c>
      <c r="D11" s="19"/>
    </row>
    <row r="13" ht="40" customHeight="1" spans="2:4" x14ac:dyDescent="0.25">
      <c r="B13" s="67" t="s">
        <v>199</v>
      </c>
      <c r="C13" s="68" t="s">
        <v>200</v>
      </c>
      <c r="D13" s="68"/>
    </row>
    <row r="14" ht="140" customHeight="1" spans="2:4" x14ac:dyDescent="0.25">
      <c r="B14" s="69" t="s">
        <v>191</v>
      </c>
      <c r="C14" s="19" t="s">
        <v>201</v>
      </c>
      <c r="D14" s="19"/>
    </row>
  </sheetData>
  <mergeCells count="9">
    <mergeCell ref="B2:D2"/>
    <mergeCell ref="C4:D4"/>
    <mergeCell ref="C5:D5"/>
    <mergeCell ref="C7:D7"/>
    <mergeCell ref="C8:D8"/>
    <mergeCell ref="C10:D10"/>
    <mergeCell ref="C11:D11"/>
    <mergeCell ref="C13:D13"/>
    <mergeCell ref="C14:D1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Ringkasan &amp; Rekomendasi</vt:lpstr>
      <vt:lpstr>2. Komparasi 6 Teori</vt:lpstr>
      <vt:lpstr>3. Matriks Keputusan (MCDA)</vt:lpstr>
      <vt:lpstr>4. Kalkulator &amp; Simulasi Sampel</vt:lpstr>
      <vt:lpstr>5. Teks Siap Sidang (Script 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Avit Febriansyah - INTERV-U Research Instrument</dc:creator>
  <dc:title/>
  <dc:subject/>
  <dc:description/>
  <cp:keywords/>
  <cp:category/>
  <cp:lastModifiedBy>Unknown</cp:lastModifiedBy>
  <dcterms:created xsi:type="dcterms:W3CDTF">2026-10-15T15:30:39Z</dcterms:created>
  <dcterms:modified xsi:type="dcterms:W3CDTF">2026-10-15T15:30:39Z</dcterms:modified>
</cp:coreProperties>
</file>
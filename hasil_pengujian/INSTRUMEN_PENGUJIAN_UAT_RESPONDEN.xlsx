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49D8C07-8A81-4E3B-938A-26AFB5E3D607}" xr6:coauthVersionLast="47" xr6:coauthVersionMax="47" xr10:uidLastSave="{00000000-0000-0000-0000-000000000000}"/>
  <bookViews>
    <workbookView xWindow="345" yWindow="1935" windowWidth="20490" windowHeight="7020" firstSheet="1" activeTab="2" xr2:uid="{00000000-000D-0000-FFFF-FFFF00000000}"/>
  </bookViews>
  <sheets>
    <sheet name="1. Panduan &amp; Profil Responden" sheetId="1" r:id="rId1"/>
    <sheet name="2. Kuesioner UAT (25 Butir)" sheetId="2" r:id="rId2"/>
    <sheet name="3. Rekap Data UAT (N=30)" sheetId="3" r:id="rId3"/>
    <sheet name="4. Rubrik &amp; Landasan Teori" sheetId="4" r:id="rId4"/>
    <sheet name="5. Lembar Validasi Ahl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" i="3" l="1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C34" i="3"/>
  <c r="AB34" i="3"/>
  <c r="AD34" i="3" s="1"/>
  <c r="AE34" i="3" s="1"/>
  <c r="AC33" i="3"/>
  <c r="AB33" i="3"/>
  <c r="AD33" i="3" s="1"/>
  <c r="AE33" i="3" s="1"/>
  <c r="AC32" i="3"/>
  <c r="AB32" i="3"/>
  <c r="AD32" i="3" s="1"/>
  <c r="AE32" i="3" s="1"/>
  <c r="AC31" i="3"/>
  <c r="AB31" i="3"/>
  <c r="AD31" i="3" s="1"/>
  <c r="AE31" i="3" s="1"/>
  <c r="AC30" i="3"/>
  <c r="AB30" i="3"/>
  <c r="AD30" i="3" s="1"/>
  <c r="AE30" i="3" s="1"/>
  <c r="AC29" i="3"/>
  <c r="AB29" i="3"/>
  <c r="AD29" i="3" s="1"/>
  <c r="AE29" i="3" s="1"/>
  <c r="AC28" i="3"/>
  <c r="AB28" i="3"/>
  <c r="AD28" i="3" s="1"/>
  <c r="AE28" i="3" s="1"/>
  <c r="AC27" i="3"/>
  <c r="AB27" i="3"/>
  <c r="AD27" i="3" s="1"/>
  <c r="AE27" i="3" s="1"/>
  <c r="AC26" i="3"/>
  <c r="AB26" i="3"/>
  <c r="AD26" i="3" s="1"/>
  <c r="AE26" i="3" s="1"/>
  <c r="AC25" i="3"/>
  <c r="AB25" i="3"/>
  <c r="AD25" i="3" s="1"/>
  <c r="AE25" i="3" s="1"/>
  <c r="AC24" i="3"/>
  <c r="AB24" i="3"/>
  <c r="AD24" i="3" s="1"/>
  <c r="AE24" i="3" s="1"/>
  <c r="AC23" i="3"/>
  <c r="AB23" i="3"/>
  <c r="AD23" i="3" s="1"/>
  <c r="AE23" i="3" s="1"/>
  <c r="AC22" i="3"/>
  <c r="AB22" i="3"/>
  <c r="AD22" i="3" s="1"/>
  <c r="AE22" i="3" s="1"/>
  <c r="AC21" i="3"/>
  <c r="AB21" i="3"/>
  <c r="AD21" i="3" s="1"/>
  <c r="AE21" i="3" s="1"/>
  <c r="AC20" i="3"/>
  <c r="AB20" i="3"/>
  <c r="AD20" i="3" s="1"/>
  <c r="AE20" i="3" s="1"/>
  <c r="AC19" i="3"/>
  <c r="AB19" i="3"/>
  <c r="AD19" i="3" s="1"/>
  <c r="AE19" i="3" s="1"/>
  <c r="AC18" i="3"/>
  <c r="AB18" i="3"/>
  <c r="AD18" i="3" s="1"/>
  <c r="AE18" i="3" s="1"/>
  <c r="AC17" i="3"/>
  <c r="AB17" i="3"/>
  <c r="AD17" i="3" s="1"/>
  <c r="AE17" i="3" s="1"/>
  <c r="AD16" i="3"/>
  <c r="AE16" i="3" s="1"/>
  <c r="AC16" i="3"/>
  <c r="AB16" i="3"/>
  <c r="AC15" i="3"/>
  <c r="AB15" i="3"/>
  <c r="AD15" i="3" s="1"/>
  <c r="AE15" i="3" s="1"/>
  <c r="AC14" i="3"/>
  <c r="AB14" i="3"/>
  <c r="AD14" i="3" s="1"/>
  <c r="AE14" i="3" s="1"/>
  <c r="AC13" i="3"/>
  <c r="AB13" i="3"/>
  <c r="AD13" i="3" s="1"/>
  <c r="AE13" i="3" s="1"/>
  <c r="AC12" i="3"/>
  <c r="AB12" i="3"/>
  <c r="AD12" i="3" s="1"/>
  <c r="AE12" i="3" s="1"/>
  <c r="AC11" i="3"/>
  <c r="AB11" i="3"/>
  <c r="AD11" i="3" s="1"/>
  <c r="AE11" i="3" s="1"/>
  <c r="AC10" i="3"/>
  <c r="AB10" i="3"/>
  <c r="AD10" i="3" s="1"/>
  <c r="AE10" i="3" s="1"/>
  <c r="AC9" i="3"/>
  <c r="AB9" i="3"/>
  <c r="AD9" i="3" s="1"/>
  <c r="AE9" i="3" s="1"/>
  <c r="AC8" i="3"/>
  <c r="AB8" i="3"/>
  <c r="AD8" i="3" s="1"/>
  <c r="AE8" i="3" s="1"/>
  <c r="AC7" i="3"/>
  <c r="AB7" i="3"/>
  <c r="AD7" i="3" s="1"/>
  <c r="AE7" i="3" s="1"/>
  <c r="AC6" i="3"/>
  <c r="AB6" i="3"/>
  <c r="AD6" i="3" s="1"/>
  <c r="AE6" i="3" s="1"/>
  <c r="AC5" i="3"/>
  <c r="AC35" i="3" s="1"/>
  <c r="AB5" i="3"/>
  <c r="AD5" i="3" l="1"/>
  <c r="AB35" i="3"/>
  <c r="AE5" i="3" l="1"/>
  <c r="AD35" i="3"/>
  <c r="AE35" i="3" s="1"/>
</calcChain>
</file>

<file path=xl/sharedStrings.xml><?xml version="1.0" encoding="utf-8"?>
<sst xmlns="http://schemas.openxmlformats.org/spreadsheetml/2006/main" count="466" uniqueCount="266">
  <si>
    <t>INSTRUMEN PENELITIAN USER ACCEPTANCE TESTING (UAT)
SISTEM SIMULASI WAWANCARA KERJA BERBASIS AI: INTERV-U
Program Studi Informatika / Sistem Informasi — Tahun 2026</t>
  </si>
  <si>
    <t>Peneliti: Avit Febriansyah  |  Dosen Pembimbing: Ibu Chanifah, M.Kom.  |  Objek: INTERV-U AI System</t>
  </si>
  <si>
    <t>PENGANTAR PENELITIAN:
Kuesioner ini dirancang untuk mengukur tingkat keberterimaan pengguna (User Acceptance Testing) terhadap sistem simulasi wawancara kerja cerdas INTERV-U. Sistem ini mengintegrasikan 4 framework evaluasi: STAR, FACT, Spencer &amp; Spencer (1993), dan ConCISE. Partisipasi dan penilaian objektif Saudara/i sangat berharga bagi penyusunan Laporan Tugas Akhir / Skripsi.</t>
  </si>
  <si>
    <t>A. PROTOKOL &amp; SKENARIO TUGAS RESPONDEN SEBELUM MENGISI KUESIONER</t>
  </si>
  <si>
    <t>No</t>
  </si>
  <si>
    <t>Tahapan Pengujian</t>
  </si>
  <si>
    <t>Aktivitas yang Harus Dilakukan Responden</t>
  </si>
  <si>
    <t>Estimasi Durasi</t>
  </si>
  <si>
    <t>1</t>
  </si>
  <si>
    <t>Tahap 1: Akses Sistem</t>
  </si>
  <si>
    <t>Buka tautan sistem INTERV-U (localhost:3000 / staging). Pastikan izin mikrofon browser aktif.</t>
  </si>
  <si>
    <t>± 1 Menit</t>
  </si>
  <si>
    <t>2</t>
  </si>
  <si>
    <t>Tahap 2: Input Profil &amp; Target</t>
  </si>
  <si>
    <t>Unggah berkas CV (PDF) dan input teks Job Description (JD) posisi yang ingin dilamar.</t>
  </si>
  <si>
    <t>± 3 Menit</t>
  </si>
  <si>
    <t>3</t>
  </si>
  <si>
    <t>Tahap 3: Simulasi Live Interview</t>
  </si>
  <si>
    <t>Jalankan sesi wawancara. Jawab 3–4 pertanyaan perilaku kerja (Behavioral Event) menggunakan suara/teks.</t>
  </si>
  <si>
    <t>± 7 Menit</t>
  </si>
  <si>
    <t>4</t>
  </si>
  <si>
    <t>Tahap 4: Eksplorasi Laporan Evaluasi</t>
  </si>
  <si>
    <t>Pelajari laporan hasil: skor keseluruhan, deteksi STAR, analisis 4 dimensi FACT, dan capaian level Spencer &amp; Spencer.</t>
  </si>
  <si>
    <t>± 4 Menit</t>
  </si>
  <si>
    <t>5</t>
  </si>
  <si>
    <t>Tahap 5: Sesi Coaching &amp; Practice</t>
  </si>
  <si>
    <t>Buka tab AI Coach (Siti Rahayu), ajukan pertanyaan tips, dengarkan audio TTS, dan coba perbaikan jawaban.</t>
  </si>
  <si>
    <t>6</t>
  </si>
  <si>
    <t>Tahap 6: Pengisian Kuesioner</t>
  </si>
  <si>
    <t>Beri penilaian objektif pada 25 butir pernyataan di lembar Sheet 2 kuesioner ini atau formulir online.</t>
  </si>
  <si>
    <t>B. FORMULIR IDENTITAS &amp; PROFIL RESPONDEN (DEMOGRAFI)</t>
  </si>
  <si>
    <t>Nama Lengkap / Inisial</t>
  </si>
  <si>
    <t>................................................................................</t>
  </si>
  <si>
    <t>(Tuliskan nama lengkap atau inisial Anda)</t>
  </si>
  <si>
    <t>Jenis Kelamin</t>
  </si>
  <si>
    <t>(Pilih salah satu)</t>
  </si>
  <si>
    <t>Usia (Tahun)</t>
  </si>
  <si>
    <t>(Isi angka umur Anda saat ini)</t>
  </si>
  <si>
    <t>Status Pendidikan / Karir</t>
  </si>
  <si>
    <t>(Pilih kategori status yang paling sesuai)</t>
  </si>
  <si>
    <t>Program Studi / Jurusan</t>
  </si>
  <si>
    <t>(Nama program studi / jurusan Anda)</t>
  </si>
  <si>
    <t>Pengalaman Wawancara Kerja</t>
  </si>
  <si>
    <t>(Frekuensi wawancara kerja yang pernah dialami)</t>
  </si>
  <si>
    <t>Bidang / Posisi Target</t>
  </si>
  <si>
    <t>(Posisi pekerjaan yang disimulasikan di INTERV-U)</t>
  </si>
  <si>
    <t>LEMBAR KUESIONER USER ACCEPTANCE TESTING (UAT) — SKALA LIKERT 1-5
Evaluasi Penerimaan Sistem INTERV-U Berbasis Extended TAM (Davis, 1989)</t>
  </si>
  <si>
    <t>Petunjuk: Beri tanda centang (✓) atau angka skor (1-5) pada kolom pilihan:
STS = 1 (Sangat Tidak Setuju) | TS = 2 (Tidak Setuju) | N = 3 (Netral) | S = 4 (Setuju) | SS = 5 (Sangat Setuju)</t>
  </si>
  <si>
    <t>Kode</t>
  </si>
  <si>
    <t>Variabel TAM / AI</t>
  </si>
  <si>
    <t>Pernyataan Evaluasi Sistem INTERV-U</t>
  </si>
  <si>
    <t>STS
(1)</t>
  </si>
  <si>
    <t>TS
(2)</t>
  </si>
  <si>
    <t>N
(3)</t>
  </si>
  <si>
    <t>S
(4)</t>
  </si>
  <si>
    <t>SS
(5)</t>
  </si>
  <si>
    <t>Skor (1-5)</t>
  </si>
  <si>
    <t>DIMENSI A: PERCEIVED USEFULNESS (PU) — PERSEPSI KEGUNAAN</t>
  </si>
  <si>
    <t>PU-01</t>
  </si>
  <si>
    <t>Perceived Usefulness</t>
  </si>
  <si>
    <t>Sistem INTERV-U membantu saya mempersiapkan diri lebih percaya diri dalam menghadapi wawancara kerja yang sebenarnya.</t>
  </si>
  <si>
    <t/>
  </si>
  <si>
    <t>PU-02</t>
  </si>
  <si>
    <t>Umpan balik berbasis framework STAR (Situation, Task, Action, Result) memudahkan saya menyusun jawaban wawancara yang lebih terstruktur dan berbobot.</t>
  </si>
  <si>
    <t>PU-03</t>
  </si>
  <si>
    <t>Evaluasi framework FACT (Feeling, Action, Context, Thinking) membantu saya memastikan jawaban tidak hanya teori hafalan, tetapi mencerminkan aksi nyata.</t>
  </si>
  <si>
    <t>PU-04</t>
  </si>
  <si>
    <t>Pemetaan kompetensi Spencer &amp; Spencer (1993) membantu saya mengetahui level kemampuan perilaku kerja saya secara kuantitatif (Level 1-5).</t>
  </si>
  <si>
    <t>PU-05</t>
  </si>
  <si>
    <t>Fitur contoh jawaban yang lebih baik (Better Answer Example) dan trik wawancara (Hack) memberikan referensi konkret untuk peningkatan kualitas jawaban.</t>
  </si>
  <si>
    <t>DIMENSI B: PERCEIVED EASE OF USE (PEOU) — PERSEPSI KEMUDAHAN PENGGUNAAN</t>
  </si>
  <si>
    <t>PEOU-01</t>
  </si>
  <si>
    <t>Ease of Use</t>
  </si>
  <si>
    <t>Antarmuka pengguna (User Interface) INTERV-U modern, bersih, dan mudah dipahami langkah penggunaannya.</t>
  </si>
  <si>
    <t>7</t>
  </si>
  <si>
    <t>PEOU-02</t>
  </si>
  <si>
    <t>Proses unggah dokumen CV dan pengisian teks kualifikasi Job Description (JD) berlangsung cepat, praktis, dan tidak membingungkan.</t>
  </si>
  <si>
    <t>8</t>
  </si>
  <si>
    <t>PEOU-03</t>
  </si>
  <si>
    <t>Interaksi tanya jawab selama simulasi wawancara langsung (Live Interview) terasa alami dan mudah dioperasikan.</t>
  </si>
  <si>
    <t>9</t>
  </si>
  <si>
    <t>PEOU-04</t>
  </si>
  <si>
    <t>Laporan evaluasi hasil wawancara (skor angka, diagram kompetensi, dan status ringkasan) disajikan secara informatif dan mudah dipahami.</t>
  </si>
  <si>
    <t>10</t>
  </si>
  <si>
    <t>PEOU-05</t>
  </si>
  <si>
    <t>Saya dapat mengoperasikan seluruh alur sistem INTERV-U secara mandiri tanpa memerlukan buku panduan khusus atau bantuan teknis rumit.</t>
  </si>
  <si>
    <t>DIMENSI C: AI EVALUATION &amp; FEEDBACK QUALITY (AQ) — KUALITAS EVALUASI AI</t>
  </si>
  <si>
    <t>11</t>
  </si>
  <si>
    <t>AQ-01</t>
  </si>
  <si>
    <t>AI Quality</t>
  </si>
  <si>
    <t>Pertanyaan wawancara yang diajukan oleh AI selaras dan relevan dengan profil CV serta kualifikasi posisi pekerjaan yang saya lamar.</t>
  </si>
  <si>
    <t>12</t>
  </si>
  <si>
    <t>AQ-02</t>
  </si>
  <si>
    <t>Deteksi kelengkapan komponen STAR beserta kutipan bukti (evidence) dari kalimat jawaban saya dinilai akurat dan objektif.</t>
  </si>
  <si>
    <t>13</t>
  </si>
  <si>
    <t>AQ-03</t>
  </si>
  <si>
    <t>Skor 4 dimensi FACT (Feeling, Action, Context, Thinking) mampu menilai keaslian pengalaman nyata dan kedalaman tindakan saya dengan tepat.</t>
  </si>
  <si>
    <t>14</t>
  </si>
  <si>
    <t>AQ-04</t>
  </si>
  <si>
    <t>Penetapan level kompetensi Spencer &amp; Spencer (Level 1-5) beserta catatannya logis dan sesuai dengan pembuktian pada jawaban saya.</t>
  </si>
  <si>
    <t>15</t>
  </si>
  <si>
    <t>AQ-05</t>
  </si>
  <si>
    <t>Kategorisasi tipe kandidat (Candidate Archetype) dan rekomendasi akhir (Verdict) mencerminkan performa wawancara saya secara komprehensif.</t>
  </si>
  <si>
    <t>DIMENSI D: COACHING &amp; INTERACTIVE EXPERIENCE (CE) — KUALITAS COACHING &amp; AUDIO</t>
  </si>
  <si>
    <t>16</t>
  </si>
  <si>
    <t>CE-01</t>
  </si>
  <si>
    <t>Coaching Quality</t>
  </si>
  <si>
    <t>Interaksi dengan AI Career Coach (Persona: Siti Rahayu) terasa responsif, komunikatif, dan menyerupai bimbingan konsultan karir profesional.</t>
  </si>
  <si>
    <t>17</t>
  </si>
  <si>
    <t>CE-02</t>
  </si>
  <si>
    <t>Saran perbaikan jawaban dari AI Coach bersifat taktis, membangun, dan langsung dapat saya terapkan pada latihan sesi berikutnya.</t>
  </si>
  <si>
    <t>18</t>
  </si>
  <si>
    <t>CE-03</t>
  </si>
  <si>
    <t>Fitur latihan ulang (Practice Mode) membantu saya memperbaiki kelemahan jawaban sebelumnya dengan panduan saran perbaikan.</t>
  </si>
  <si>
    <t>19</t>
  </si>
  <si>
    <t>CE-04</t>
  </si>
  <si>
    <t>Kualitas audio Text-to-Speech (TTS) dari sistem terdengar jernih, natural, dan memiliki intonasi artikulasi yang nyaman didengar.</t>
  </si>
  <si>
    <t>20</t>
  </si>
  <si>
    <t>CE-05</t>
  </si>
  <si>
    <t>Analisis kata pengisi (Filler Words) membantu saya menyadari kebiasaan jeda bicara (misal: "ehm", "anu") agar bicara lebih tenang.</t>
  </si>
  <si>
    <t>DIMENSI E: BEHAVIORAL INTENTION &amp; SATISFACTION (BI) — NIAT PENGGUNAAN &amp; KEPUASAN</t>
  </si>
  <si>
    <t>21</t>
  </si>
  <si>
    <t>BI-01</t>
  </si>
  <si>
    <t>Behavioral Intention</t>
  </si>
  <si>
    <t>Secara menyeluruh, saya merasa sangat puas dengan pengalaman menggunakan sistem simulasi wawancara INTERV-U.</t>
  </si>
  <si>
    <t>22</t>
  </si>
  <si>
    <t>BI-02</t>
  </si>
  <si>
    <t>Saya berencana akan menggunakan kembali sistem INTERV-U sebelum saya menghadapi jadwal wawancara kerja yang sebenarnya.</t>
  </si>
  <si>
    <t>23</t>
  </si>
  <si>
    <t>BI-03</t>
  </si>
  <si>
    <t>Saya akan merekomendasikan sistem simulasi wawancara INTERV-U kepada teman kuliah, rekan pencari kerja, atau komunitas saya.</t>
  </si>
  <si>
    <t>24</t>
  </si>
  <si>
    <t>BI-04</t>
  </si>
  <si>
    <t>Sistem INTERV-U jauh lebih efektif dan mendalam dibandingkan latihan wawancara konvensional mandiri di depan cermin.</t>
  </si>
  <si>
    <t>25</t>
  </si>
  <si>
    <t>BI-05</t>
  </si>
  <si>
    <t>Sistem INTERV-U sangat layak diadopsi oleh Pusat Karir Kampus / Career Development Center sebagai sarana persiapan karir mahasiswa.</t>
  </si>
  <si>
    <t>FEEDBACK KUALITATIF &amp; SARAN PENGEMBANGAN TERBUKA</t>
  </si>
  <si>
    <t>1. Fitur apa dari INTERV-U yang menurut Anda paling membantu dan memberikan dampak positif paling besar? Jelaskan alasannya.</t>
  </si>
  <si>
    <t>(Tuliskan jawaban saran Anda di sini...)</t>
  </si>
  <si>
    <t>2. Kendala, kebingungan, atau kesulitan teknis apa yang Anda rasakan selama menggunakan sistem INTERV-U?</t>
  </si>
  <si>
    <t>3. Apa saran atau fitur tambahan yang menurut Anda perlu ditambahkan untuk menyempurnakan sistem INTERV-U ke depannya?</t>
  </si>
  <si>
    <t>TABEL REKAPITULASI DATA MENTAH PENGUJIAN USER ACCEPTANCE TESTING (UAT)
Template Pengumpulan Skor Skala Likert 1-5 (N = 30 Responden) — Rumus Otomatis Aktif</t>
  </si>
  <si>
    <t>PU (Kegunaan)</t>
  </si>
  <si>
    <t>PEOU (Kemudahan)</t>
  </si>
  <si>
    <t>AQ (Kualitas AI)</t>
  </si>
  <si>
    <t>CE (Coaching)</t>
  </si>
  <si>
    <t>BI (Niat Pakai)</t>
  </si>
  <si>
    <t>REKAPITULASI INDIVIDUAL</t>
  </si>
  <si>
    <t>Responden</t>
  </si>
  <si>
    <t>PU1</t>
  </si>
  <si>
    <t>PU2</t>
  </si>
  <si>
    <t>PU3</t>
  </si>
  <si>
    <t>PU4</t>
  </si>
  <si>
    <t>PU5</t>
  </si>
  <si>
    <t>PE1</t>
  </si>
  <si>
    <t>PE2</t>
  </si>
  <si>
    <t>PE3</t>
  </si>
  <si>
    <t>PE4</t>
  </si>
  <si>
    <t>PE5</t>
  </si>
  <si>
    <t>AQ1</t>
  </si>
  <si>
    <t>AQ2</t>
  </si>
  <si>
    <t>AQ3</t>
  </si>
  <si>
    <t>AQ4</t>
  </si>
  <si>
    <t>AQ5</t>
  </si>
  <si>
    <t>CE1</t>
  </si>
  <si>
    <t>CE2</t>
  </si>
  <si>
    <t>CE3</t>
  </si>
  <si>
    <t>CE4</t>
  </si>
  <si>
    <t>CE5</t>
  </si>
  <si>
    <t>BI1</t>
  </si>
  <si>
    <t>BI2</t>
  </si>
  <si>
    <t>BI3</t>
  </si>
  <si>
    <t>BI4</t>
  </si>
  <si>
    <t>BI5</t>
  </si>
  <si>
    <t>Total Skor</t>
  </si>
  <si>
    <t>Rata-rata</t>
  </si>
  <si>
    <t>% Kelayakan</t>
  </si>
  <si>
    <t>Interpretasi Kategori</t>
  </si>
  <si>
    <t>Resp-01</t>
  </si>
  <si>
    <t>Resp-02</t>
  </si>
  <si>
    <t>Resp-03</t>
  </si>
  <si>
    <t>Resp-04</t>
  </si>
  <si>
    <t>Resp-05</t>
  </si>
  <si>
    <t>Resp-06</t>
  </si>
  <si>
    <t>Resp-07</t>
  </si>
  <si>
    <t>Resp-08</t>
  </si>
  <si>
    <t>Resp-09</t>
  </si>
  <si>
    <t>Resp-10</t>
  </si>
  <si>
    <t>Resp-11</t>
  </si>
  <si>
    <t>Resp-12</t>
  </si>
  <si>
    <t>Resp-13</t>
  </si>
  <si>
    <t>Resp-14</t>
  </si>
  <si>
    <t>Resp-15</t>
  </si>
  <si>
    <t>Resp-16</t>
  </si>
  <si>
    <t>Resp-17</t>
  </si>
  <si>
    <t>Resp-18</t>
  </si>
  <si>
    <t>Resp-19</t>
  </si>
  <si>
    <t>Resp-20</t>
  </si>
  <si>
    <t>Resp-21</t>
  </si>
  <si>
    <t>Resp-22</t>
  </si>
  <si>
    <t>Resp-23</t>
  </si>
  <si>
    <t>Resp-24</t>
  </si>
  <si>
    <t>Resp-25</t>
  </si>
  <si>
    <t>Resp-26</t>
  </si>
  <si>
    <t>Resp-27</t>
  </si>
  <si>
    <t>Resp-28</t>
  </si>
  <si>
    <t>Resp-29</t>
  </si>
  <si>
    <t>Resp-30</t>
  </si>
  <si>
    <t>RATA-RATA TOTAL</t>
  </si>
  <si>
    <t>LANDASAN TEORETIS PENGUKURAN &amp; RUBRIK INTERPRETASI HASIL UAT
Referensi Metodologi Penelitian untuk Bab III dan Bab IV Skripsi</t>
  </si>
  <si>
    <t>A. MODEL TEORI: EXTENDED TECHNOLOGY ACCEPTANCE MODEL (TAM)</t>
  </si>
  <si>
    <t>Davis (1989)</t>
  </si>
  <si>
    <t>Perceived Usefulness (PU)</t>
  </si>
  <si>
    <t>Sejauh mana seseorang percaya bahwa menggunakan sistem tertentu akan meningkatkan kinerja pekerjaannya.</t>
  </si>
  <si>
    <t>5 Butir Item (PU01-05)</t>
  </si>
  <si>
    <t>Perceived Ease of Use (PEOU)</t>
  </si>
  <si>
    <t>Sejauh mana seseorang percaya bahwa menggunakan sistem tertentu tidak membutuhkan usaha yang melelahkan (bebas kesulitan).</t>
  </si>
  <si>
    <t>5 Butir Item (PE01-05)</t>
  </si>
  <si>
    <t>Extended (2026)</t>
  </si>
  <si>
    <t>AI Feedback Quality (AQ)</t>
  </si>
  <si>
    <t>Akurasi, relevansi, dan ketajaman multi-framework evaluasi AI (STAR, FACT, Spencer 1993, ConCISE).</t>
  </si>
  <si>
    <t>5 Butir Item (AQ01-05)</t>
  </si>
  <si>
    <t>Coaching Experience (CE)</t>
  </si>
  <si>
    <t>Kualitas interaksi bimbingan konsultan karir AI (Siti Rahayu) dan kejelasan Text-to-Speech audio.</t>
  </si>
  <si>
    <t>5 Butir Item (CE01-05)</t>
  </si>
  <si>
    <t>Behavioral Intention (BI)</t>
  </si>
  <si>
    <t>Tingkat kekuatan niat pengguna untuk mengulang pemakaian dan merekomendasikan sistem kepada orang lain.</t>
  </si>
  <si>
    <t>5 Butir Item (BI01-05)</t>
  </si>
  <si>
    <t>B. KRITERIA INTERPRETASI KELAYAKAN UAT (Arikunto, 2019 &amp; Sugiyono, 2018)</t>
  </si>
  <si>
    <t>81.00% – 100.00%</t>
  </si>
  <si>
    <t>Sangat Layak / Sangat Diterima</t>
  </si>
  <si>
    <t>Sistem memenuhi seluruh ekspektasi pengguna secara prima. Tidak memerlukan perbaikan mayor.</t>
  </si>
  <si>
    <t>61.00% – 80.99%</t>
  </si>
  <si>
    <t>Layak / Diterima</t>
  </si>
  <si>
    <t>Sistem diterima dengan baik oleh pengguna. Saran minor dapat diakomodasi untuk rilis lanjutan.</t>
  </si>
  <si>
    <t>41.00% – 60.99%</t>
  </si>
  <si>
    <t>Cukup Layak / Cukup</t>
  </si>
  <si>
    <t>Sistem masih memiliki beberapa kekurangan yang harus diperbaiki sebelum diterapkan secara luas.</t>
  </si>
  <si>
    <t>21.00% – 40.99%</t>
  </si>
  <si>
    <t>Kurang Layak</t>
  </si>
  <si>
    <t>Sistem belum memenuhi standar kebutuhan pengguna dan memerlukan revisi substansial.</t>
  </si>
  <si>
    <t>0.00% – 20.99%</t>
  </si>
  <si>
    <t>Sangat Tidak Layak</t>
  </si>
  <si>
    <t>Sistem ditolak oleh pengguna dan memerlukan perombakan arsitektur/konsep secara menyeluruh.</t>
  </si>
  <si>
    <t>C. FORMULA PERHITUNGAN PERSENTASE KELAYAKAN</t>
  </si>
  <si>
    <t>RUMUS PERSENTASE SKOR KELAYAKAN:
% Kelayakan = (Total Skor Aktual / Total Skor Maksimum Ideal) × 100%
Di mana:
• Total Skor Aktual = Jumlah seluruh nilai jawaban responden pada indikator terkait
• Total Skor Maksimum Ideal = N (Jumlah Responden) × K (Jumlah Butir Pertanyaan) × 5 (Bobot Jawaban Tertinggi "Sangat Setuju")</t>
  </si>
  <si>
    <t>LEMBAR PENILAIAN VALIDASI AHLI (EXPERT JUDGMENT)
INSTRUMEN USER ACCEPTANCE TESTING (UAT) SISTEM INTERV-U
Untuk Dosen Pembimbing / Praktisi Human Resources (HR)</t>
  </si>
  <si>
    <t>Nama Validator: Ibu Chanifah, M.Kom. / Praktisi HR Eksternal  |  Instansi: Universitas</t>
  </si>
  <si>
    <t>Aspek Validasi Ahli</t>
  </si>
  <si>
    <t>Indikator Penilaian Ahli</t>
  </si>
  <si>
    <t>Status Validasi</t>
  </si>
  <si>
    <t>Kesesuaian Konstruk Teori TAM</t>
  </si>
  <si>
    <t>Butir-butir pertanyaan pada variabel PU, PEOU, dan BI telah mencerminkan model Davis (1989) dengan tepat.</t>
  </si>
  <si>
    <t>[  ] Layak
[  ] Perlu Revisi</t>
  </si>
  <si>
    <t>Relevansi Multi-Framework AI</t>
  </si>
  <si>
    <t>Instrumen telah merefleksikan evaluasi STAR, FACT, dan Kamus Kompetensi Spencer &amp; Spencer (1993).</t>
  </si>
  <si>
    <t>Ketepatan Bahasa &amp; Kejelasan Butir</t>
  </si>
  <si>
    <t>Kalimat pernyataan tidak menimbulkan penafsiran ganda (ambigu) dan mudah dipahami oleh responden.</t>
  </si>
  <si>
    <t>Struktur Skala Pengukuran Likert</t>
  </si>
  <si>
    <t>Gradasi 5 pilihan skala (STS, TS, N, S, SS) proporsional dan memiliki bobot nilai yang terukur secara statistik.</t>
  </si>
  <si>
    <t>Kelayakan Skenario Pengujian</t>
  </si>
  <si>
    <t>Skenario uji terarah (15-20 menit) realistis dan mampu memberikan gambaran komprehensif bagi responden.</t>
  </si>
  <si>
    <t>KESIMPULAN UMUM VALIDATOR AHLI</t>
  </si>
  <si>
    <t>[  ] Instrumen DINYATAKAN LAYAK untuk digunakan dalam pengumpulan data penelitian tanpa revisi.
[  ] Instrumen DINYATAKAN LAYAK dengan perbaikan minor sesuai catatan saran.
[  ] Instrumen DINYATAKAN TIDAK LAYAK dan perlu dikonsultasikan ulang.
Catatan Tambahan Validator: .................................................................................................................................</t>
  </si>
  <si>
    <t>Mengetahui / Mengesahkan,
Validator Ahli / Dosen Pembimbing,
( Ibu Chanifah, M.Kom.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</si>
</sst>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sz val="10"/>
      <color rgb="FFFFFFFF"/>
      <name val="Segoe UI"/>
    </font>
    <font>
      <sz val="9"/>
      <color rgb="FF856404"/>
      <name val="Segoe UI"/>
    </font>
    <font>
      <b/>
      <sz val="11"/>
      <color rgb="FFFFFFFF"/>
      <name val="Segoe UI"/>
    </font>
    <font>
      <b/>
      <sz val="9"/>
      <color rgb="FFFFFFFF"/>
      <name val="Segoe UI"/>
    </font>
    <font>
      <b/>
      <sz val="10"/>
      <color rgb="FF212121"/>
      <name val="Segoe UI"/>
    </font>
    <font>
      <b/>
      <sz val="10"/>
      <color rgb="FF0D47A1"/>
      <name val="Segoe UI"/>
    </font>
    <font>
      <sz val="10"/>
      <color rgb="FF212121"/>
      <name val="Segoe UI"/>
    </font>
    <font>
      <b/>
      <sz val="10"/>
      <color rgb="FF1B5E20"/>
      <name val="Segoe UI"/>
    </font>
    <font>
      <sz val="10"/>
      <color rgb="FF546E7A"/>
      <name val="Segoe UI"/>
    </font>
    <font>
      <i/>
      <sz val="9"/>
      <color rgb="FF546E7A"/>
      <name val="Segoe UI"/>
    </font>
    <font>
      <b/>
      <sz val="12"/>
      <color rgb="FFFFFFFF"/>
      <name val="Segoe UI"/>
    </font>
    <font>
      <b/>
      <sz val="8"/>
      <color rgb="FFFFFFFF"/>
      <name val="Segoe UI"/>
    </font>
    <font>
      <b/>
      <sz val="10"/>
      <color rgb="FFFFFFFF"/>
      <name val="Segoe UI"/>
    </font>
    <font>
      <sz val="9"/>
      <color rgb="FF546E7A"/>
      <name val="Segoe UI"/>
    </font>
    <font>
      <sz val="9.5"/>
      <color rgb="FF212121"/>
      <name val="Segoe UI"/>
    </font>
    <font>
      <b/>
      <sz val="9"/>
      <color rgb="FF212121"/>
      <name val="Segoe UI"/>
    </font>
    <font>
      <b/>
      <sz val="8.5"/>
      <color rgb="FFFFFFFF"/>
      <name val="Segoe UI"/>
    </font>
    <font>
      <b/>
      <sz val="9"/>
      <name val="Segoe UI"/>
    </font>
    <font>
      <b/>
      <sz val="9"/>
      <color rgb="FF1B5E20"/>
      <name val="Segoe UI"/>
    </font>
    <font>
      <b/>
      <sz val="9"/>
      <color rgb="FF1A237E"/>
      <name val="Segoe UI"/>
    </font>
    <font>
      <b/>
      <sz val="9"/>
      <color rgb="FF546E7A"/>
      <name val="Segoe UI"/>
    </font>
    <font>
      <b/>
      <sz val="9.5"/>
      <color rgb="FF0D47A1"/>
      <name val="Segoe UI"/>
    </font>
    <font>
      <sz val="9"/>
      <color rgb="FF212121"/>
      <name val="Segoe UI"/>
    </font>
    <font>
      <b/>
      <sz val="9.5"/>
      <color rgb="FF1B5E20"/>
      <name val="Segoe UI"/>
    </font>
    <font>
      <b/>
      <sz val="9.5"/>
      <color rgb="FF856404"/>
      <name val="Segoe UI"/>
    </font>
    <font>
      <b/>
      <sz val="9.5"/>
      <color rgb="FF212121"/>
      <name val="Segoe UI"/>
    </font>
    <font>
      <b/>
      <sz val="9.5"/>
      <color rgb="FFD32F2F"/>
      <name val="Segoe UI"/>
    </font>
    <font>
      <sz val="9.5"/>
      <color rgb="FFFFFFFF"/>
      <name val="Segoe UI"/>
    </font>
    <font>
      <b/>
      <sz val="8.5"/>
      <color rgb="FF212121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37474F"/>
      </patternFill>
    </fill>
    <fill>
      <patternFill patternType="solid">
        <fgColor rgb="FFFFF3CD"/>
      </patternFill>
    </fill>
    <fill>
      <patternFill patternType="solid">
        <fgColor rgb="FF1A237E"/>
      </patternFill>
    </fill>
    <fill>
      <patternFill patternType="solid">
        <fgColor rgb="FFF9FAFB"/>
      </patternFill>
    </fill>
    <fill>
      <patternFill patternType="solid">
        <fgColor rgb="FF004D40"/>
      </patternFill>
    </fill>
    <fill>
      <patternFill patternType="solid"/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263238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880E4F"/>
      </patternFill>
    </fill>
  </fills>
  <borders count="14">
    <border>
      <left/>
      <right/>
      <top/>
      <bottom/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medium">
        <color rgb="FFFFF3CD"/>
      </left>
      <right style="medium">
        <color rgb="FFFFF3CD"/>
      </right>
      <top style="medium">
        <color rgb="FFFFF3CD"/>
      </top>
      <bottom style="medium">
        <color rgb="FFFFF3CD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004D40"/>
      </left>
      <right style="medium">
        <color rgb="FF004D40"/>
      </right>
      <top style="medium">
        <color rgb="FF004D40"/>
      </top>
      <bottom style="medium">
        <color rgb="FF004D40"/>
      </bottom>
      <diagonal/>
    </border>
    <border>
      <left style="medium">
        <color rgb="FFF9FAFB"/>
      </left>
      <right style="medium">
        <color rgb="FFF9FAFB"/>
      </right>
      <top style="medium">
        <color rgb="FFF9FAFB"/>
      </top>
      <bottom style="medium">
        <color rgb="FFF9FAF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D4EDDA"/>
      </left>
      <right style="medium">
        <color rgb="FFD4EDDA"/>
      </right>
      <top style="medium">
        <color rgb="FFD4EDDA"/>
      </top>
      <bottom style="medium">
        <color rgb="FFD4EDDA"/>
      </bottom>
      <diagonal/>
    </border>
    <border>
      <left style="medium">
        <color rgb="FF880E4F"/>
      </left>
      <right style="medium">
        <color rgb="FF880E4F"/>
      </right>
      <top style="medium">
        <color rgb="FF880E4F"/>
      </top>
      <bottom style="medium">
        <color rgb="FF880E4F"/>
      </bottom>
      <diagonal/>
    </border>
    <border>
      <left style="medium">
        <color rgb="FF263238"/>
      </left>
      <right style="medium">
        <color rgb="FF263238"/>
      </right>
      <top style="medium">
        <color rgb="FF263238"/>
      </top>
      <bottom style="medium">
        <color rgb="FF263238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/>
    </xf>
    <xf numFmtId="2" fontId="19" fillId="12" borderId="5" xfId="0" applyNumberFormat="1" applyFont="1" applyFill="1" applyBorder="1" applyAlignment="1">
      <alignment horizontal="center" vertical="center"/>
    </xf>
    <xf numFmtId="10" fontId="20" fillId="13" borderId="5" xfId="0" applyNumberFormat="1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2" fontId="19" fillId="6" borderId="5" xfId="0" applyNumberFormat="1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2" fontId="18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0" fontId="9" fillId="13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6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7" fillId="6" borderId="7" xfId="0" applyFont="1" applyFill="1" applyBorder="1" applyAlignment="1">
      <alignment horizontal="left" vertical="center" wrapText="1"/>
    </xf>
    <xf numFmtId="0" fontId="15" fillId="8" borderId="8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left" vertical="center" wrapText="1"/>
    </xf>
    <xf numFmtId="0" fontId="24" fillId="13" borderId="11" xfId="0" applyFont="1" applyFill="1" applyBorder="1" applyAlignment="1">
      <alignment horizontal="left" vertical="center" wrapText="1"/>
    </xf>
    <xf numFmtId="0" fontId="24" fillId="8" borderId="8" xfId="0" applyFont="1" applyFill="1" applyBorder="1" applyAlignment="1">
      <alignment horizontal="left" vertical="center" wrapText="1"/>
    </xf>
    <xf numFmtId="0" fontId="24" fillId="4" borderId="3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left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showGridLines="0" topLeftCell="A5" workbookViewId="0"/>
  </sheetViews>
  <sheetFormatPr defaultRowHeight="15" x14ac:dyDescent="0.25"/>
  <cols>
    <col min="1" max="1" width="3" customWidth="1"/>
    <col min="2" max="2" width="6" customWidth="1"/>
    <col min="3" max="3" width="32" customWidth="1"/>
    <col min="4" max="4" width="55" customWidth="1"/>
    <col min="5" max="5" width="22" customWidth="1"/>
  </cols>
  <sheetData>
    <row r="1" spans="2:5" ht="9.9499999999999993" customHeight="1" x14ac:dyDescent="0.25"/>
    <row r="2" spans="2:5" ht="54" customHeight="1" x14ac:dyDescent="0.25">
      <c r="B2" s="60" t="s">
        <v>0</v>
      </c>
      <c r="C2" s="60"/>
      <c r="D2" s="60"/>
      <c r="E2" s="60"/>
    </row>
    <row r="3" spans="2:5" ht="24" customHeight="1" x14ac:dyDescent="0.25">
      <c r="B3" s="61" t="s">
        <v>1</v>
      </c>
      <c r="C3" s="61"/>
      <c r="D3" s="61"/>
      <c r="E3" s="61"/>
    </row>
    <row r="4" spans="2:5" ht="12" customHeight="1" x14ac:dyDescent="0.25"/>
    <row r="5" spans="2:5" ht="57.95" customHeight="1" x14ac:dyDescent="0.25">
      <c r="B5" s="62" t="s">
        <v>2</v>
      </c>
      <c r="C5" s="62"/>
      <c r="D5" s="62"/>
      <c r="E5" s="62"/>
    </row>
    <row r="6" spans="2:5" ht="12" customHeight="1" x14ac:dyDescent="0.25"/>
    <row r="7" spans="2:5" ht="26.1" customHeight="1" x14ac:dyDescent="0.25">
      <c r="B7" s="63" t="s">
        <v>3</v>
      </c>
      <c r="C7" s="63"/>
      <c r="D7" s="63"/>
      <c r="E7" s="63"/>
    </row>
    <row r="8" spans="2:5" ht="24" customHeight="1" x14ac:dyDescent="0.25">
      <c r="B8" s="1" t="s">
        <v>4</v>
      </c>
      <c r="C8" s="2" t="s">
        <v>5</v>
      </c>
      <c r="D8" s="2" t="s">
        <v>6</v>
      </c>
      <c r="E8" s="1" t="s">
        <v>7</v>
      </c>
    </row>
    <row r="9" spans="2:5" ht="36" customHeight="1" x14ac:dyDescent="0.25">
      <c r="B9" s="3" t="s">
        <v>8</v>
      </c>
      <c r="C9" s="4" t="s">
        <v>9</v>
      </c>
      <c r="D9" s="5" t="s">
        <v>10</v>
      </c>
      <c r="E9" s="6" t="s">
        <v>11</v>
      </c>
    </row>
    <row r="10" spans="2:5" ht="36" customHeight="1" x14ac:dyDescent="0.25">
      <c r="B10" s="7" t="s">
        <v>12</v>
      </c>
      <c r="C10" s="8" t="s">
        <v>13</v>
      </c>
      <c r="D10" s="9" t="s">
        <v>14</v>
      </c>
      <c r="E10" s="10" t="s">
        <v>15</v>
      </c>
    </row>
    <row r="11" spans="2:5" ht="36" customHeight="1" x14ac:dyDescent="0.25">
      <c r="B11" s="3" t="s">
        <v>16</v>
      </c>
      <c r="C11" s="4" t="s">
        <v>17</v>
      </c>
      <c r="D11" s="5" t="s">
        <v>18</v>
      </c>
      <c r="E11" s="6" t="s">
        <v>19</v>
      </c>
    </row>
    <row r="12" spans="2:5" ht="36" customHeight="1" x14ac:dyDescent="0.25">
      <c r="B12" s="7" t="s">
        <v>20</v>
      </c>
      <c r="C12" s="8" t="s">
        <v>21</v>
      </c>
      <c r="D12" s="9" t="s">
        <v>22</v>
      </c>
      <c r="E12" s="10" t="s">
        <v>23</v>
      </c>
    </row>
    <row r="13" spans="2:5" ht="36" customHeight="1" x14ac:dyDescent="0.25">
      <c r="B13" s="3" t="s">
        <v>24</v>
      </c>
      <c r="C13" s="4" t="s">
        <v>25</v>
      </c>
      <c r="D13" s="5" t="s">
        <v>26</v>
      </c>
      <c r="E13" s="6" t="s">
        <v>15</v>
      </c>
    </row>
    <row r="14" spans="2:5" ht="36" customHeight="1" x14ac:dyDescent="0.25">
      <c r="B14" s="7" t="s">
        <v>27</v>
      </c>
      <c r="C14" s="8" t="s">
        <v>28</v>
      </c>
      <c r="D14" s="9" t="s">
        <v>29</v>
      </c>
      <c r="E14" s="10" t="s">
        <v>23</v>
      </c>
    </row>
    <row r="16" spans="2:5" ht="26.1" customHeight="1" x14ac:dyDescent="0.25">
      <c r="B16" s="63" t="s">
        <v>30</v>
      </c>
      <c r="C16" s="63"/>
      <c r="D16" s="63"/>
      <c r="E16" s="63"/>
    </row>
    <row r="17" spans="2:5" ht="27.95" customHeight="1" x14ac:dyDescent="0.25">
      <c r="B17" s="11">
        <v>1</v>
      </c>
      <c r="C17" s="12" t="s">
        <v>31</v>
      </c>
      <c r="D17" s="13" t="s">
        <v>32</v>
      </c>
      <c r="E17" s="14" t="s">
        <v>33</v>
      </c>
    </row>
    <row r="18" spans="2:5" ht="27.95" customHeight="1" x14ac:dyDescent="0.25">
      <c r="B18" s="15">
        <v>2</v>
      </c>
      <c r="C18" s="16" t="s">
        <v>34</v>
      </c>
      <c r="D18" s="17" t="s">
        <v>32</v>
      </c>
      <c r="E18" s="18" t="s">
        <v>35</v>
      </c>
    </row>
    <row r="19" spans="2:5" ht="27.95" customHeight="1" x14ac:dyDescent="0.25">
      <c r="B19" s="11">
        <v>3</v>
      </c>
      <c r="C19" s="12" t="s">
        <v>36</v>
      </c>
      <c r="D19" s="13" t="s">
        <v>32</v>
      </c>
      <c r="E19" s="14" t="s">
        <v>37</v>
      </c>
    </row>
    <row r="20" spans="2:5" ht="27.95" customHeight="1" x14ac:dyDescent="0.25">
      <c r="B20" s="15">
        <v>4</v>
      </c>
      <c r="C20" s="16" t="s">
        <v>38</v>
      </c>
      <c r="D20" s="17" t="s">
        <v>32</v>
      </c>
      <c r="E20" s="18" t="s">
        <v>39</v>
      </c>
    </row>
    <row r="21" spans="2:5" ht="27.95" customHeight="1" x14ac:dyDescent="0.25">
      <c r="B21" s="11">
        <v>5</v>
      </c>
      <c r="C21" s="12" t="s">
        <v>40</v>
      </c>
      <c r="D21" s="13" t="s">
        <v>32</v>
      </c>
      <c r="E21" s="14" t="s">
        <v>41</v>
      </c>
    </row>
    <row r="22" spans="2:5" ht="27.95" customHeight="1" x14ac:dyDescent="0.25">
      <c r="B22" s="15">
        <v>6</v>
      </c>
      <c r="C22" s="16" t="s">
        <v>42</v>
      </c>
      <c r="D22" s="17" t="s">
        <v>32</v>
      </c>
      <c r="E22" s="18" t="s">
        <v>43</v>
      </c>
    </row>
    <row r="23" spans="2:5" ht="27.95" customHeight="1" x14ac:dyDescent="0.25">
      <c r="B23" s="11">
        <v>7</v>
      </c>
      <c r="C23" s="12" t="s">
        <v>44</v>
      </c>
      <c r="D23" s="13" t="s">
        <v>32</v>
      </c>
      <c r="E23" s="14" t="s">
        <v>45</v>
      </c>
    </row>
  </sheetData>
  <mergeCells count="5">
    <mergeCell ref="B2:E2"/>
    <mergeCell ref="B3:E3"/>
    <mergeCell ref="B5:E5"/>
    <mergeCell ref="B7:E7"/>
    <mergeCell ref="B16:E1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2"/>
  <sheetViews>
    <sheetView showGridLines="0" topLeftCell="A6" workbookViewId="0">
      <selection activeCell="B41" sqref="B41:K41"/>
    </sheetView>
  </sheetViews>
  <sheetFormatPr defaultRowHeight="15" x14ac:dyDescent="0.25"/>
  <cols>
    <col min="1" max="1" width="3" customWidth="1"/>
    <col min="2" max="2" width="6" customWidth="1"/>
    <col min="3" max="3" width="12" customWidth="1"/>
    <col min="4" max="4" width="22" customWidth="1"/>
    <col min="5" max="5" width="56" customWidth="1"/>
    <col min="6" max="10" width="7" customWidth="1"/>
    <col min="11" max="11" width="11" customWidth="1"/>
  </cols>
  <sheetData>
    <row r="1" spans="2:11" ht="9.9499999999999993" customHeight="1" x14ac:dyDescent="0.25"/>
    <row r="2" spans="2:11" ht="45" customHeight="1" x14ac:dyDescent="0.25">
      <c r="B2" s="64" t="s">
        <v>46</v>
      </c>
      <c r="C2" s="64"/>
      <c r="D2" s="64"/>
      <c r="E2" s="64"/>
      <c r="F2" s="64"/>
      <c r="G2" s="64"/>
      <c r="H2" s="64"/>
      <c r="I2" s="64"/>
      <c r="J2" s="64"/>
      <c r="K2" s="64"/>
    </row>
    <row r="3" spans="2:11" ht="30" customHeight="1" x14ac:dyDescent="0.25">
      <c r="B3" s="65" t="s">
        <v>47</v>
      </c>
      <c r="C3" s="65"/>
      <c r="D3" s="65"/>
      <c r="E3" s="65"/>
      <c r="F3" s="65"/>
      <c r="G3" s="65"/>
      <c r="H3" s="65"/>
      <c r="I3" s="65"/>
      <c r="J3" s="65"/>
      <c r="K3" s="65"/>
    </row>
    <row r="4" spans="2:11" ht="26.1" customHeight="1" x14ac:dyDescent="0.25">
      <c r="B4" s="1" t="s">
        <v>4</v>
      </c>
      <c r="C4" s="1" t="s">
        <v>48</v>
      </c>
      <c r="D4" s="2" t="s">
        <v>49</v>
      </c>
      <c r="E4" s="2" t="s">
        <v>50</v>
      </c>
      <c r="F4" s="19" t="s">
        <v>51</v>
      </c>
      <c r="G4" s="19" t="s">
        <v>52</v>
      </c>
      <c r="H4" s="19" t="s">
        <v>53</v>
      </c>
      <c r="I4" s="19" t="s">
        <v>54</v>
      </c>
      <c r="J4" s="19" t="s">
        <v>55</v>
      </c>
      <c r="K4" s="1" t="s">
        <v>56</v>
      </c>
    </row>
    <row r="5" spans="2:11" ht="24" customHeight="1" x14ac:dyDescent="0.25">
      <c r="B5" s="66" t="s">
        <v>57</v>
      </c>
      <c r="C5" s="66"/>
      <c r="D5" s="66"/>
      <c r="E5" s="66"/>
      <c r="F5" s="66"/>
      <c r="G5" s="66"/>
      <c r="H5" s="66"/>
      <c r="I5" s="66"/>
      <c r="J5" s="66"/>
      <c r="K5" s="66"/>
    </row>
    <row r="6" spans="2:11" ht="42" customHeight="1" x14ac:dyDescent="0.25">
      <c r="B6" s="20" t="s">
        <v>8</v>
      </c>
      <c r="C6" s="21" t="s">
        <v>58</v>
      </c>
      <c r="D6" s="22" t="s">
        <v>59</v>
      </c>
      <c r="E6" s="23" t="s">
        <v>60</v>
      </c>
      <c r="F6" s="20" t="s">
        <v>61</v>
      </c>
      <c r="G6" s="20" t="s">
        <v>61</v>
      </c>
      <c r="H6" s="20" t="s">
        <v>61</v>
      </c>
      <c r="I6" s="20" t="s">
        <v>61</v>
      </c>
      <c r="J6" s="20" t="s">
        <v>61</v>
      </c>
      <c r="K6" s="24" t="s">
        <v>61</v>
      </c>
    </row>
    <row r="7" spans="2:11" ht="42" customHeight="1" x14ac:dyDescent="0.25">
      <c r="B7" s="25" t="s">
        <v>12</v>
      </c>
      <c r="C7" s="26" t="s">
        <v>62</v>
      </c>
      <c r="D7" s="27" t="s">
        <v>59</v>
      </c>
      <c r="E7" s="28" t="s">
        <v>63</v>
      </c>
      <c r="F7" s="25" t="s">
        <v>61</v>
      </c>
      <c r="G7" s="25" t="s">
        <v>61</v>
      </c>
      <c r="H7" s="25" t="s">
        <v>61</v>
      </c>
      <c r="I7" s="25" t="s">
        <v>61</v>
      </c>
      <c r="J7" s="25" t="s">
        <v>61</v>
      </c>
      <c r="K7" s="24" t="s">
        <v>61</v>
      </c>
    </row>
    <row r="8" spans="2:11" ht="42" customHeight="1" x14ac:dyDescent="0.25">
      <c r="B8" s="20" t="s">
        <v>16</v>
      </c>
      <c r="C8" s="21" t="s">
        <v>64</v>
      </c>
      <c r="D8" s="22" t="s">
        <v>59</v>
      </c>
      <c r="E8" s="23" t="s">
        <v>65</v>
      </c>
      <c r="F8" s="20" t="s">
        <v>61</v>
      </c>
      <c r="G8" s="20" t="s">
        <v>61</v>
      </c>
      <c r="H8" s="20" t="s">
        <v>61</v>
      </c>
      <c r="I8" s="20" t="s">
        <v>61</v>
      </c>
      <c r="J8" s="20" t="s">
        <v>61</v>
      </c>
      <c r="K8" s="24" t="s">
        <v>61</v>
      </c>
    </row>
    <row r="9" spans="2:11" ht="42" customHeight="1" x14ac:dyDescent="0.25">
      <c r="B9" s="25" t="s">
        <v>20</v>
      </c>
      <c r="C9" s="26" t="s">
        <v>66</v>
      </c>
      <c r="D9" s="27" t="s">
        <v>59</v>
      </c>
      <c r="E9" s="28" t="s">
        <v>67</v>
      </c>
      <c r="F9" s="25" t="s">
        <v>61</v>
      </c>
      <c r="G9" s="25" t="s">
        <v>61</v>
      </c>
      <c r="H9" s="25" t="s">
        <v>61</v>
      </c>
      <c r="I9" s="25" t="s">
        <v>61</v>
      </c>
      <c r="J9" s="25" t="s">
        <v>61</v>
      </c>
      <c r="K9" s="24" t="s">
        <v>61</v>
      </c>
    </row>
    <row r="10" spans="2:11" ht="42" customHeight="1" x14ac:dyDescent="0.25">
      <c r="B10" s="20" t="s">
        <v>24</v>
      </c>
      <c r="C10" s="21" t="s">
        <v>68</v>
      </c>
      <c r="D10" s="22" t="s">
        <v>59</v>
      </c>
      <c r="E10" s="23" t="s">
        <v>69</v>
      </c>
      <c r="F10" s="20" t="s">
        <v>61</v>
      </c>
      <c r="G10" s="20" t="s">
        <v>61</v>
      </c>
      <c r="H10" s="20" t="s">
        <v>61</v>
      </c>
      <c r="I10" s="20" t="s">
        <v>61</v>
      </c>
      <c r="J10" s="20" t="s">
        <v>61</v>
      </c>
      <c r="K10" s="24" t="s">
        <v>61</v>
      </c>
    </row>
    <row r="11" spans="2:11" ht="24" customHeight="1" x14ac:dyDescent="0.25">
      <c r="B11" s="66" t="s">
        <v>70</v>
      </c>
      <c r="C11" s="66"/>
      <c r="D11" s="66"/>
      <c r="E11" s="66"/>
      <c r="F11" s="66"/>
      <c r="G11" s="66"/>
      <c r="H11" s="66"/>
      <c r="I11" s="66"/>
      <c r="J11" s="66"/>
      <c r="K11" s="66"/>
    </row>
    <row r="12" spans="2:11" ht="42" customHeight="1" x14ac:dyDescent="0.25">
      <c r="B12" s="25" t="s">
        <v>27</v>
      </c>
      <c r="C12" s="26" t="s">
        <v>71</v>
      </c>
      <c r="D12" s="27" t="s">
        <v>72</v>
      </c>
      <c r="E12" s="28" t="s">
        <v>73</v>
      </c>
      <c r="F12" s="25" t="s">
        <v>61</v>
      </c>
      <c r="G12" s="25" t="s">
        <v>61</v>
      </c>
      <c r="H12" s="25" t="s">
        <v>61</v>
      </c>
      <c r="I12" s="25" t="s">
        <v>61</v>
      </c>
      <c r="J12" s="25" t="s">
        <v>61</v>
      </c>
      <c r="K12" s="24" t="s">
        <v>61</v>
      </c>
    </row>
    <row r="13" spans="2:11" ht="42" customHeight="1" x14ac:dyDescent="0.25">
      <c r="B13" s="20" t="s">
        <v>74</v>
      </c>
      <c r="C13" s="21" t="s">
        <v>75</v>
      </c>
      <c r="D13" s="22" t="s">
        <v>72</v>
      </c>
      <c r="E13" s="23" t="s">
        <v>76</v>
      </c>
      <c r="F13" s="20" t="s">
        <v>61</v>
      </c>
      <c r="G13" s="20" t="s">
        <v>61</v>
      </c>
      <c r="H13" s="20" t="s">
        <v>61</v>
      </c>
      <c r="I13" s="20" t="s">
        <v>61</v>
      </c>
      <c r="J13" s="20" t="s">
        <v>61</v>
      </c>
      <c r="K13" s="24" t="s">
        <v>61</v>
      </c>
    </row>
    <row r="14" spans="2:11" ht="42" customHeight="1" x14ac:dyDescent="0.25">
      <c r="B14" s="25" t="s">
        <v>77</v>
      </c>
      <c r="C14" s="26" t="s">
        <v>78</v>
      </c>
      <c r="D14" s="27" t="s">
        <v>72</v>
      </c>
      <c r="E14" s="28" t="s">
        <v>79</v>
      </c>
      <c r="F14" s="25" t="s">
        <v>61</v>
      </c>
      <c r="G14" s="25" t="s">
        <v>61</v>
      </c>
      <c r="H14" s="25" t="s">
        <v>61</v>
      </c>
      <c r="I14" s="25" t="s">
        <v>61</v>
      </c>
      <c r="J14" s="25" t="s">
        <v>61</v>
      </c>
      <c r="K14" s="24" t="s">
        <v>61</v>
      </c>
    </row>
    <row r="15" spans="2:11" ht="42" customHeight="1" x14ac:dyDescent="0.25">
      <c r="B15" s="20" t="s">
        <v>80</v>
      </c>
      <c r="C15" s="21" t="s">
        <v>81</v>
      </c>
      <c r="D15" s="22" t="s">
        <v>72</v>
      </c>
      <c r="E15" s="23" t="s">
        <v>82</v>
      </c>
      <c r="F15" s="20" t="s">
        <v>61</v>
      </c>
      <c r="G15" s="20" t="s">
        <v>61</v>
      </c>
      <c r="H15" s="20" t="s">
        <v>61</v>
      </c>
      <c r="I15" s="20" t="s">
        <v>61</v>
      </c>
      <c r="J15" s="20" t="s">
        <v>61</v>
      </c>
      <c r="K15" s="24" t="s">
        <v>61</v>
      </c>
    </row>
    <row r="16" spans="2:11" ht="42" customHeight="1" x14ac:dyDescent="0.25">
      <c r="B16" s="25" t="s">
        <v>83</v>
      </c>
      <c r="C16" s="26" t="s">
        <v>84</v>
      </c>
      <c r="D16" s="27" t="s">
        <v>72</v>
      </c>
      <c r="E16" s="28" t="s">
        <v>85</v>
      </c>
      <c r="F16" s="25" t="s">
        <v>61</v>
      </c>
      <c r="G16" s="25" t="s">
        <v>61</v>
      </c>
      <c r="H16" s="25" t="s">
        <v>61</v>
      </c>
      <c r="I16" s="25" t="s">
        <v>61</v>
      </c>
      <c r="J16" s="25" t="s">
        <v>61</v>
      </c>
      <c r="K16" s="24" t="s">
        <v>61</v>
      </c>
    </row>
    <row r="17" spans="2:11" ht="24" customHeight="1" x14ac:dyDescent="0.25">
      <c r="B17" s="66" t="s">
        <v>86</v>
      </c>
      <c r="C17" s="66"/>
      <c r="D17" s="66"/>
      <c r="E17" s="66"/>
      <c r="F17" s="66"/>
      <c r="G17" s="66"/>
      <c r="H17" s="66"/>
      <c r="I17" s="66"/>
      <c r="J17" s="66"/>
      <c r="K17" s="66"/>
    </row>
    <row r="18" spans="2:11" ht="42" customHeight="1" x14ac:dyDescent="0.25">
      <c r="B18" s="20" t="s">
        <v>87</v>
      </c>
      <c r="C18" s="21" t="s">
        <v>88</v>
      </c>
      <c r="D18" s="22" t="s">
        <v>89</v>
      </c>
      <c r="E18" s="23" t="s">
        <v>90</v>
      </c>
      <c r="F18" s="20" t="s">
        <v>61</v>
      </c>
      <c r="G18" s="20" t="s">
        <v>61</v>
      </c>
      <c r="H18" s="20" t="s">
        <v>61</v>
      </c>
      <c r="I18" s="20" t="s">
        <v>61</v>
      </c>
      <c r="J18" s="20" t="s">
        <v>61</v>
      </c>
      <c r="K18" s="24" t="s">
        <v>61</v>
      </c>
    </row>
    <row r="19" spans="2:11" ht="42" customHeight="1" x14ac:dyDescent="0.25">
      <c r="B19" s="25" t="s">
        <v>91</v>
      </c>
      <c r="C19" s="26" t="s">
        <v>92</v>
      </c>
      <c r="D19" s="27" t="s">
        <v>89</v>
      </c>
      <c r="E19" s="28" t="s">
        <v>93</v>
      </c>
      <c r="F19" s="25" t="s">
        <v>61</v>
      </c>
      <c r="G19" s="25" t="s">
        <v>61</v>
      </c>
      <c r="H19" s="25" t="s">
        <v>61</v>
      </c>
      <c r="I19" s="25" t="s">
        <v>61</v>
      </c>
      <c r="J19" s="25" t="s">
        <v>61</v>
      </c>
      <c r="K19" s="24" t="s">
        <v>61</v>
      </c>
    </row>
    <row r="20" spans="2:11" ht="42" customHeight="1" x14ac:dyDescent="0.25">
      <c r="B20" s="20" t="s">
        <v>94</v>
      </c>
      <c r="C20" s="21" t="s">
        <v>95</v>
      </c>
      <c r="D20" s="22" t="s">
        <v>89</v>
      </c>
      <c r="E20" s="23" t="s">
        <v>96</v>
      </c>
      <c r="F20" s="20" t="s">
        <v>61</v>
      </c>
      <c r="G20" s="20" t="s">
        <v>61</v>
      </c>
      <c r="H20" s="20" t="s">
        <v>61</v>
      </c>
      <c r="I20" s="20" t="s">
        <v>61</v>
      </c>
      <c r="J20" s="20" t="s">
        <v>61</v>
      </c>
      <c r="K20" s="24" t="s">
        <v>61</v>
      </c>
    </row>
    <row r="21" spans="2:11" ht="42" customHeight="1" x14ac:dyDescent="0.25">
      <c r="B21" s="25" t="s">
        <v>97</v>
      </c>
      <c r="C21" s="26" t="s">
        <v>98</v>
      </c>
      <c r="D21" s="27" t="s">
        <v>89</v>
      </c>
      <c r="E21" s="28" t="s">
        <v>99</v>
      </c>
      <c r="F21" s="25" t="s">
        <v>61</v>
      </c>
      <c r="G21" s="25" t="s">
        <v>61</v>
      </c>
      <c r="H21" s="25" t="s">
        <v>61</v>
      </c>
      <c r="I21" s="25" t="s">
        <v>61</v>
      </c>
      <c r="J21" s="25" t="s">
        <v>61</v>
      </c>
      <c r="K21" s="24" t="s">
        <v>61</v>
      </c>
    </row>
    <row r="22" spans="2:11" ht="42" customHeight="1" x14ac:dyDescent="0.25">
      <c r="B22" s="20" t="s">
        <v>100</v>
      </c>
      <c r="C22" s="21" t="s">
        <v>101</v>
      </c>
      <c r="D22" s="22" t="s">
        <v>89</v>
      </c>
      <c r="E22" s="23" t="s">
        <v>102</v>
      </c>
      <c r="F22" s="20" t="s">
        <v>61</v>
      </c>
      <c r="G22" s="20" t="s">
        <v>61</v>
      </c>
      <c r="H22" s="20" t="s">
        <v>61</v>
      </c>
      <c r="I22" s="20" t="s">
        <v>61</v>
      </c>
      <c r="J22" s="20" t="s">
        <v>61</v>
      </c>
      <c r="K22" s="24" t="s">
        <v>61</v>
      </c>
    </row>
    <row r="23" spans="2:11" ht="24" customHeight="1" x14ac:dyDescent="0.25">
      <c r="B23" s="66" t="s">
        <v>103</v>
      </c>
      <c r="C23" s="66"/>
      <c r="D23" s="66"/>
      <c r="E23" s="66"/>
      <c r="F23" s="66"/>
      <c r="G23" s="66"/>
      <c r="H23" s="66"/>
      <c r="I23" s="66"/>
      <c r="J23" s="66"/>
      <c r="K23" s="66"/>
    </row>
    <row r="24" spans="2:11" ht="42" customHeight="1" x14ac:dyDescent="0.25">
      <c r="B24" s="25" t="s">
        <v>104</v>
      </c>
      <c r="C24" s="26" t="s">
        <v>105</v>
      </c>
      <c r="D24" s="27" t="s">
        <v>106</v>
      </c>
      <c r="E24" s="28" t="s">
        <v>107</v>
      </c>
      <c r="F24" s="25" t="s">
        <v>61</v>
      </c>
      <c r="G24" s="25" t="s">
        <v>61</v>
      </c>
      <c r="H24" s="25" t="s">
        <v>61</v>
      </c>
      <c r="I24" s="25" t="s">
        <v>61</v>
      </c>
      <c r="J24" s="25" t="s">
        <v>61</v>
      </c>
      <c r="K24" s="24" t="s">
        <v>61</v>
      </c>
    </row>
    <row r="25" spans="2:11" ht="42" customHeight="1" x14ac:dyDescent="0.25">
      <c r="B25" s="20" t="s">
        <v>108</v>
      </c>
      <c r="C25" s="21" t="s">
        <v>109</v>
      </c>
      <c r="D25" s="22" t="s">
        <v>106</v>
      </c>
      <c r="E25" s="23" t="s">
        <v>110</v>
      </c>
      <c r="F25" s="20" t="s">
        <v>61</v>
      </c>
      <c r="G25" s="20" t="s">
        <v>61</v>
      </c>
      <c r="H25" s="20" t="s">
        <v>61</v>
      </c>
      <c r="I25" s="20" t="s">
        <v>61</v>
      </c>
      <c r="J25" s="20" t="s">
        <v>61</v>
      </c>
      <c r="K25" s="24" t="s">
        <v>61</v>
      </c>
    </row>
    <row r="26" spans="2:11" ht="42" customHeight="1" x14ac:dyDescent="0.25">
      <c r="B26" s="25" t="s">
        <v>111</v>
      </c>
      <c r="C26" s="26" t="s">
        <v>112</v>
      </c>
      <c r="D26" s="27" t="s">
        <v>106</v>
      </c>
      <c r="E26" s="28" t="s">
        <v>113</v>
      </c>
      <c r="F26" s="25" t="s">
        <v>61</v>
      </c>
      <c r="G26" s="25" t="s">
        <v>61</v>
      </c>
      <c r="H26" s="25" t="s">
        <v>61</v>
      </c>
      <c r="I26" s="25" t="s">
        <v>61</v>
      </c>
      <c r="J26" s="25" t="s">
        <v>61</v>
      </c>
      <c r="K26" s="24" t="s">
        <v>61</v>
      </c>
    </row>
    <row r="27" spans="2:11" ht="42" customHeight="1" x14ac:dyDescent="0.25">
      <c r="B27" s="20" t="s">
        <v>114</v>
      </c>
      <c r="C27" s="21" t="s">
        <v>115</v>
      </c>
      <c r="D27" s="22" t="s">
        <v>106</v>
      </c>
      <c r="E27" s="23" t="s">
        <v>116</v>
      </c>
      <c r="F27" s="20" t="s">
        <v>61</v>
      </c>
      <c r="G27" s="20" t="s">
        <v>61</v>
      </c>
      <c r="H27" s="20" t="s">
        <v>61</v>
      </c>
      <c r="I27" s="20" t="s">
        <v>61</v>
      </c>
      <c r="J27" s="20" t="s">
        <v>61</v>
      </c>
      <c r="K27" s="24" t="s">
        <v>61</v>
      </c>
    </row>
    <row r="28" spans="2:11" ht="42" customHeight="1" x14ac:dyDescent="0.25">
      <c r="B28" s="25" t="s">
        <v>117</v>
      </c>
      <c r="C28" s="26" t="s">
        <v>118</v>
      </c>
      <c r="D28" s="27" t="s">
        <v>106</v>
      </c>
      <c r="E28" s="28" t="s">
        <v>119</v>
      </c>
      <c r="F28" s="25" t="s">
        <v>61</v>
      </c>
      <c r="G28" s="25" t="s">
        <v>61</v>
      </c>
      <c r="H28" s="25" t="s">
        <v>61</v>
      </c>
      <c r="I28" s="25" t="s">
        <v>61</v>
      </c>
      <c r="J28" s="25" t="s">
        <v>61</v>
      </c>
      <c r="K28" s="24" t="s">
        <v>61</v>
      </c>
    </row>
    <row r="29" spans="2:11" ht="24" customHeight="1" x14ac:dyDescent="0.25">
      <c r="B29" s="66" t="s">
        <v>120</v>
      </c>
      <c r="C29" s="66"/>
      <c r="D29" s="66"/>
      <c r="E29" s="66"/>
      <c r="F29" s="66"/>
      <c r="G29" s="66"/>
      <c r="H29" s="66"/>
      <c r="I29" s="66"/>
      <c r="J29" s="66"/>
      <c r="K29" s="66"/>
    </row>
    <row r="30" spans="2:11" ht="42" customHeight="1" x14ac:dyDescent="0.25">
      <c r="B30" s="20" t="s">
        <v>121</v>
      </c>
      <c r="C30" s="21" t="s">
        <v>122</v>
      </c>
      <c r="D30" s="22" t="s">
        <v>123</v>
      </c>
      <c r="E30" s="23" t="s">
        <v>124</v>
      </c>
      <c r="F30" s="20" t="s">
        <v>61</v>
      </c>
      <c r="G30" s="20" t="s">
        <v>61</v>
      </c>
      <c r="H30" s="20" t="s">
        <v>61</v>
      </c>
      <c r="I30" s="20" t="s">
        <v>61</v>
      </c>
      <c r="J30" s="20" t="s">
        <v>61</v>
      </c>
      <c r="K30" s="24" t="s">
        <v>61</v>
      </c>
    </row>
    <row r="31" spans="2:11" ht="42" customHeight="1" x14ac:dyDescent="0.25">
      <c r="B31" s="25" t="s">
        <v>125</v>
      </c>
      <c r="C31" s="26" t="s">
        <v>126</v>
      </c>
      <c r="D31" s="27" t="s">
        <v>123</v>
      </c>
      <c r="E31" s="28" t="s">
        <v>127</v>
      </c>
      <c r="F31" s="25" t="s">
        <v>61</v>
      </c>
      <c r="G31" s="25" t="s">
        <v>61</v>
      </c>
      <c r="H31" s="25" t="s">
        <v>61</v>
      </c>
      <c r="I31" s="25" t="s">
        <v>61</v>
      </c>
      <c r="J31" s="25" t="s">
        <v>61</v>
      </c>
      <c r="K31" s="24" t="s">
        <v>61</v>
      </c>
    </row>
    <row r="32" spans="2:11" ht="42" customHeight="1" x14ac:dyDescent="0.25">
      <c r="B32" s="20" t="s">
        <v>128</v>
      </c>
      <c r="C32" s="21" t="s">
        <v>129</v>
      </c>
      <c r="D32" s="22" t="s">
        <v>123</v>
      </c>
      <c r="E32" s="23" t="s">
        <v>130</v>
      </c>
      <c r="F32" s="20" t="s">
        <v>61</v>
      </c>
      <c r="G32" s="20" t="s">
        <v>61</v>
      </c>
      <c r="H32" s="20" t="s">
        <v>61</v>
      </c>
      <c r="I32" s="20" t="s">
        <v>61</v>
      </c>
      <c r="J32" s="20" t="s">
        <v>61</v>
      </c>
      <c r="K32" s="24" t="s">
        <v>61</v>
      </c>
    </row>
    <row r="33" spans="2:11" ht="42" customHeight="1" x14ac:dyDescent="0.25">
      <c r="B33" s="25" t="s">
        <v>131</v>
      </c>
      <c r="C33" s="26" t="s">
        <v>132</v>
      </c>
      <c r="D33" s="27" t="s">
        <v>123</v>
      </c>
      <c r="E33" s="28" t="s">
        <v>133</v>
      </c>
      <c r="F33" s="25" t="s">
        <v>61</v>
      </c>
      <c r="G33" s="25" t="s">
        <v>61</v>
      </c>
      <c r="H33" s="25" t="s">
        <v>61</v>
      </c>
      <c r="I33" s="25" t="s">
        <v>61</v>
      </c>
      <c r="J33" s="25" t="s">
        <v>61</v>
      </c>
      <c r="K33" s="24" t="s">
        <v>61</v>
      </c>
    </row>
    <row r="34" spans="2:11" ht="42" customHeight="1" x14ac:dyDescent="0.25">
      <c r="B34" s="20" t="s">
        <v>134</v>
      </c>
      <c r="C34" s="21" t="s">
        <v>135</v>
      </c>
      <c r="D34" s="22" t="s">
        <v>123</v>
      </c>
      <c r="E34" s="23" t="s">
        <v>136</v>
      </c>
      <c r="F34" s="20" t="s">
        <v>61</v>
      </c>
      <c r="G34" s="20" t="s">
        <v>61</v>
      </c>
      <c r="H34" s="20" t="s">
        <v>61</v>
      </c>
      <c r="I34" s="20" t="s">
        <v>61</v>
      </c>
      <c r="J34" s="20" t="s">
        <v>61</v>
      </c>
      <c r="K34" s="24" t="s">
        <v>61</v>
      </c>
    </row>
    <row r="36" spans="2:11" ht="26.1" customHeight="1" x14ac:dyDescent="0.25">
      <c r="B36" s="67" t="s">
        <v>137</v>
      </c>
      <c r="C36" s="67"/>
      <c r="D36" s="67"/>
      <c r="E36" s="67"/>
      <c r="F36" s="67"/>
      <c r="G36" s="67"/>
      <c r="H36" s="67"/>
      <c r="I36" s="67"/>
      <c r="J36" s="67"/>
      <c r="K36" s="67"/>
    </row>
    <row r="37" spans="2:11" ht="24" customHeight="1" x14ac:dyDescent="0.25">
      <c r="B37" s="68" t="s">
        <v>138</v>
      </c>
      <c r="C37" s="68"/>
      <c r="D37" s="68"/>
      <c r="E37" s="68"/>
      <c r="F37" s="68"/>
      <c r="G37" s="68"/>
      <c r="H37" s="68"/>
      <c r="I37" s="68"/>
      <c r="J37" s="68"/>
      <c r="K37" s="68"/>
    </row>
    <row r="38" spans="2:11" ht="50.1" customHeight="1" x14ac:dyDescent="0.25">
      <c r="B38" s="69" t="s">
        <v>139</v>
      </c>
      <c r="C38" s="69"/>
      <c r="D38" s="69"/>
      <c r="E38" s="69"/>
      <c r="F38" s="69"/>
      <c r="G38" s="69"/>
      <c r="H38" s="69"/>
      <c r="I38" s="69"/>
      <c r="J38" s="69"/>
      <c r="K38" s="69"/>
    </row>
    <row r="39" spans="2:11" ht="24" customHeight="1" x14ac:dyDescent="0.25">
      <c r="B39" s="68" t="s">
        <v>140</v>
      </c>
      <c r="C39" s="68"/>
      <c r="D39" s="68"/>
      <c r="E39" s="68"/>
      <c r="F39" s="68"/>
      <c r="G39" s="68"/>
      <c r="H39" s="68"/>
      <c r="I39" s="68"/>
      <c r="J39" s="68"/>
      <c r="K39" s="68"/>
    </row>
    <row r="40" spans="2:11" ht="50.1" customHeight="1" x14ac:dyDescent="0.25">
      <c r="B40" s="69" t="s">
        <v>139</v>
      </c>
      <c r="C40" s="69"/>
      <c r="D40" s="69"/>
      <c r="E40" s="69"/>
      <c r="F40" s="69"/>
      <c r="G40" s="69"/>
      <c r="H40" s="69"/>
      <c r="I40" s="69"/>
      <c r="J40" s="69"/>
      <c r="K40" s="69"/>
    </row>
    <row r="41" spans="2:11" ht="24" customHeight="1" x14ac:dyDescent="0.25">
      <c r="B41" s="68" t="s">
        <v>141</v>
      </c>
      <c r="C41" s="68"/>
      <c r="D41" s="68"/>
      <c r="E41" s="68"/>
      <c r="F41" s="68"/>
      <c r="G41" s="68"/>
      <c r="H41" s="68"/>
      <c r="I41" s="68"/>
      <c r="J41" s="68"/>
      <c r="K41" s="68"/>
    </row>
    <row r="42" spans="2:11" ht="50.1" customHeight="1" x14ac:dyDescent="0.25">
      <c r="B42" s="69" t="s">
        <v>139</v>
      </c>
      <c r="C42" s="69"/>
      <c r="D42" s="69"/>
      <c r="E42" s="69"/>
      <c r="F42" s="69"/>
      <c r="G42" s="69"/>
      <c r="H42" s="69"/>
      <c r="I42" s="69"/>
      <c r="J42" s="69"/>
      <c r="K42" s="69"/>
    </row>
  </sheetData>
  <mergeCells count="14">
    <mergeCell ref="B39:K39"/>
    <mergeCell ref="B40:K40"/>
    <mergeCell ref="B41:K41"/>
    <mergeCell ref="B42:K42"/>
    <mergeCell ref="B23:K23"/>
    <mergeCell ref="B29:K29"/>
    <mergeCell ref="B36:K36"/>
    <mergeCell ref="B37:K37"/>
    <mergeCell ref="B38:K38"/>
    <mergeCell ref="B2:K2"/>
    <mergeCell ref="B3:K3"/>
    <mergeCell ref="B5:K5"/>
    <mergeCell ref="B11:K11"/>
    <mergeCell ref="B17:K1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35"/>
  <sheetViews>
    <sheetView showGridLines="0" tabSelected="1" topLeftCell="A12" workbookViewId="0"/>
  </sheetViews>
  <sheetFormatPr defaultRowHeight="15" x14ac:dyDescent="0.25"/>
  <cols>
    <col min="1" max="1" width="3" customWidth="1"/>
    <col min="2" max="2" width="14" customWidth="1"/>
    <col min="3" max="27" width="6.42578125" customWidth="1"/>
    <col min="28" max="29" width="11" customWidth="1"/>
    <col min="30" max="30" width="13" customWidth="1"/>
    <col min="31" max="31" width="18" customWidth="1"/>
  </cols>
  <sheetData>
    <row r="1" spans="2:31" ht="9.9499999999999993" customHeight="1" x14ac:dyDescent="0.25"/>
    <row r="2" spans="2:31" ht="42" customHeight="1" x14ac:dyDescent="0.25">
      <c r="B2" s="70" t="s">
        <v>142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2:31" ht="21.95" customHeight="1" x14ac:dyDescent="0.25">
      <c r="B3" s="29" t="s">
        <v>61</v>
      </c>
      <c r="C3" s="71" t="s">
        <v>143</v>
      </c>
      <c r="D3" s="71"/>
      <c r="E3" s="71"/>
      <c r="F3" s="71"/>
      <c r="G3" s="71"/>
      <c r="H3" s="72" t="s">
        <v>144</v>
      </c>
      <c r="I3" s="72"/>
      <c r="J3" s="72"/>
      <c r="K3" s="72"/>
      <c r="L3" s="72"/>
      <c r="M3" s="73" t="s">
        <v>145</v>
      </c>
      <c r="N3" s="73"/>
      <c r="O3" s="73"/>
      <c r="P3" s="73"/>
      <c r="Q3" s="73"/>
      <c r="R3" s="74" t="s">
        <v>146</v>
      </c>
      <c r="S3" s="74"/>
      <c r="T3" s="74"/>
      <c r="U3" s="74"/>
      <c r="V3" s="74"/>
      <c r="W3" s="71" t="s">
        <v>147</v>
      </c>
      <c r="X3" s="71"/>
      <c r="Y3" s="71"/>
      <c r="Z3" s="71"/>
      <c r="AA3" s="71"/>
      <c r="AB3" s="75" t="s">
        <v>148</v>
      </c>
      <c r="AC3" s="75"/>
      <c r="AD3" s="75"/>
      <c r="AE3" s="75"/>
    </row>
    <row r="4" spans="2:31" ht="24" customHeight="1" x14ac:dyDescent="0.25">
      <c r="B4" s="30" t="s">
        <v>149</v>
      </c>
      <c r="C4" s="31" t="s">
        <v>150</v>
      </c>
      <c r="D4" s="31" t="s">
        <v>151</v>
      </c>
      <c r="E4" s="31" t="s">
        <v>152</v>
      </c>
      <c r="F4" s="31" t="s">
        <v>153</v>
      </c>
      <c r="G4" s="31" t="s">
        <v>154</v>
      </c>
      <c r="H4" s="31" t="s">
        <v>155</v>
      </c>
      <c r="I4" s="31" t="s">
        <v>156</v>
      </c>
      <c r="J4" s="31" t="s">
        <v>157</v>
      </c>
      <c r="K4" s="31" t="s">
        <v>158</v>
      </c>
      <c r="L4" s="31" t="s">
        <v>159</v>
      </c>
      <c r="M4" s="31" t="s">
        <v>160</v>
      </c>
      <c r="N4" s="31" t="s">
        <v>161</v>
      </c>
      <c r="O4" s="31" t="s">
        <v>162</v>
      </c>
      <c r="P4" s="31" t="s">
        <v>163</v>
      </c>
      <c r="Q4" s="31" t="s">
        <v>164</v>
      </c>
      <c r="R4" s="31" t="s">
        <v>165</v>
      </c>
      <c r="S4" s="31" t="s">
        <v>166</v>
      </c>
      <c r="T4" s="31" t="s">
        <v>167</v>
      </c>
      <c r="U4" s="31" t="s">
        <v>168</v>
      </c>
      <c r="V4" s="31" t="s">
        <v>169</v>
      </c>
      <c r="W4" s="31" t="s">
        <v>170</v>
      </c>
      <c r="X4" s="31" t="s">
        <v>171</v>
      </c>
      <c r="Y4" s="31" t="s">
        <v>172</v>
      </c>
      <c r="Z4" s="31" t="s">
        <v>173</v>
      </c>
      <c r="AA4" s="31" t="s">
        <v>174</v>
      </c>
      <c r="AB4" s="30" t="s">
        <v>175</v>
      </c>
      <c r="AC4" s="30" t="s">
        <v>176</v>
      </c>
      <c r="AD4" s="30" t="s">
        <v>177</v>
      </c>
      <c r="AE4" s="30" t="s">
        <v>178</v>
      </c>
    </row>
    <row r="5" spans="2:31" ht="20.100000000000001" customHeight="1" x14ac:dyDescent="0.25">
      <c r="B5" s="3" t="s">
        <v>179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32">
        <f t="shared" ref="AB5:AB34" si="0">SUM(C5:AA5)</f>
        <v>0</v>
      </c>
      <c r="AC5" s="33" t="e">
        <f t="shared" ref="AC5:AC34" si="1">AVERAGE(C5:AA5)</f>
        <v>#DIV/0!</v>
      </c>
      <c r="AD5" s="34">
        <f t="shared" ref="AD5:AD34" si="2">(AB5/(25*5))</f>
        <v>0</v>
      </c>
      <c r="AE5" s="35" t="str">
        <f t="shared" ref="AE5:AE34" si="3">IF(AD5&gt;=0.81,"SANGAT LAYAK",IF(AD5&gt;=0.61,"LAYAK",IF(AD5&gt;=0.41,"CUKUP LAYAK","KURANG LAYAK")))</f>
        <v>KURANG LAYAK</v>
      </c>
    </row>
    <row r="6" spans="2:31" ht="20.100000000000001" customHeight="1" x14ac:dyDescent="0.25">
      <c r="B6" s="7" t="s">
        <v>180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36">
        <f t="shared" si="0"/>
        <v>0</v>
      </c>
      <c r="AC6" s="37" t="e">
        <f t="shared" si="1"/>
        <v>#DIV/0!</v>
      </c>
      <c r="AD6" s="34">
        <f t="shared" si="2"/>
        <v>0</v>
      </c>
      <c r="AE6" s="38" t="str">
        <f t="shared" si="3"/>
        <v>KURANG LAYAK</v>
      </c>
    </row>
    <row r="7" spans="2:31" ht="20.100000000000001" customHeight="1" x14ac:dyDescent="0.25">
      <c r="B7" s="3" t="s">
        <v>181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32">
        <f t="shared" si="0"/>
        <v>0</v>
      </c>
      <c r="AC7" s="33" t="e">
        <f t="shared" si="1"/>
        <v>#DIV/0!</v>
      </c>
      <c r="AD7" s="34">
        <f t="shared" si="2"/>
        <v>0</v>
      </c>
      <c r="AE7" s="35" t="str">
        <f t="shared" si="3"/>
        <v>KURANG LAYAK</v>
      </c>
    </row>
    <row r="8" spans="2:31" ht="20.100000000000001" customHeight="1" x14ac:dyDescent="0.25">
      <c r="B8" s="7" t="s">
        <v>182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36">
        <f t="shared" si="0"/>
        <v>0</v>
      </c>
      <c r="AC8" s="37" t="e">
        <f t="shared" si="1"/>
        <v>#DIV/0!</v>
      </c>
      <c r="AD8" s="34">
        <f t="shared" si="2"/>
        <v>0</v>
      </c>
      <c r="AE8" s="38" t="str">
        <f t="shared" si="3"/>
        <v>KURANG LAYAK</v>
      </c>
    </row>
    <row r="9" spans="2:31" ht="20.100000000000001" customHeight="1" x14ac:dyDescent="0.25">
      <c r="B9" s="3" t="s">
        <v>183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32">
        <f t="shared" si="0"/>
        <v>0</v>
      </c>
      <c r="AC9" s="33" t="e">
        <f t="shared" si="1"/>
        <v>#DIV/0!</v>
      </c>
      <c r="AD9" s="34">
        <f t="shared" si="2"/>
        <v>0</v>
      </c>
      <c r="AE9" s="35" t="str">
        <f t="shared" si="3"/>
        <v>KURANG LAYAK</v>
      </c>
    </row>
    <row r="10" spans="2:31" ht="20.100000000000001" customHeight="1" x14ac:dyDescent="0.25">
      <c r="B10" s="7" t="s">
        <v>184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6">
        <f t="shared" si="0"/>
        <v>0</v>
      </c>
      <c r="AC10" s="37" t="e">
        <f t="shared" si="1"/>
        <v>#DIV/0!</v>
      </c>
      <c r="AD10" s="34">
        <f t="shared" si="2"/>
        <v>0</v>
      </c>
      <c r="AE10" s="38" t="str">
        <f t="shared" si="3"/>
        <v>KURANG LAYAK</v>
      </c>
    </row>
    <row r="11" spans="2:31" ht="20.100000000000001" customHeight="1" x14ac:dyDescent="0.25">
      <c r="B11" s="3" t="s">
        <v>185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32">
        <f t="shared" si="0"/>
        <v>0</v>
      </c>
      <c r="AC11" s="33" t="e">
        <f t="shared" si="1"/>
        <v>#DIV/0!</v>
      </c>
      <c r="AD11" s="34">
        <f t="shared" si="2"/>
        <v>0</v>
      </c>
      <c r="AE11" s="35" t="str">
        <f t="shared" si="3"/>
        <v>KURANG LAYAK</v>
      </c>
    </row>
    <row r="12" spans="2:31" ht="20.100000000000001" customHeight="1" x14ac:dyDescent="0.25">
      <c r="B12" s="7" t="s">
        <v>186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6">
        <f t="shared" si="0"/>
        <v>0</v>
      </c>
      <c r="AC12" s="37" t="e">
        <f t="shared" si="1"/>
        <v>#DIV/0!</v>
      </c>
      <c r="AD12" s="34">
        <f t="shared" si="2"/>
        <v>0</v>
      </c>
      <c r="AE12" s="38" t="str">
        <f t="shared" si="3"/>
        <v>KURANG LAYAK</v>
      </c>
    </row>
    <row r="13" spans="2:31" ht="20.100000000000001" customHeight="1" x14ac:dyDescent="0.25">
      <c r="B13" s="3" t="s">
        <v>187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32">
        <f t="shared" si="0"/>
        <v>0</v>
      </c>
      <c r="AC13" s="33" t="e">
        <f t="shared" si="1"/>
        <v>#DIV/0!</v>
      </c>
      <c r="AD13" s="34">
        <f t="shared" si="2"/>
        <v>0</v>
      </c>
      <c r="AE13" s="35" t="str">
        <f t="shared" si="3"/>
        <v>KURANG LAYAK</v>
      </c>
    </row>
    <row r="14" spans="2:31" ht="20.100000000000001" customHeight="1" x14ac:dyDescent="0.25">
      <c r="B14" s="7" t="s">
        <v>188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6">
        <f t="shared" si="0"/>
        <v>0</v>
      </c>
      <c r="AC14" s="37" t="e">
        <f t="shared" si="1"/>
        <v>#DIV/0!</v>
      </c>
      <c r="AD14" s="34">
        <f t="shared" si="2"/>
        <v>0</v>
      </c>
      <c r="AE14" s="38" t="str">
        <f t="shared" si="3"/>
        <v>KURANG LAYAK</v>
      </c>
    </row>
    <row r="15" spans="2:31" ht="20.100000000000001" customHeight="1" x14ac:dyDescent="0.25">
      <c r="B15" s="3" t="s">
        <v>189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32">
        <f t="shared" si="0"/>
        <v>0</v>
      </c>
      <c r="AC15" s="33" t="e">
        <f t="shared" si="1"/>
        <v>#DIV/0!</v>
      </c>
      <c r="AD15" s="34">
        <f t="shared" si="2"/>
        <v>0</v>
      </c>
      <c r="AE15" s="35" t="str">
        <f t="shared" si="3"/>
        <v>KURANG LAYAK</v>
      </c>
    </row>
    <row r="16" spans="2:31" ht="20.100000000000001" customHeight="1" x14ac:dyDescent="0.25">
      <c r="B16" s="7" t="s">
        <v>190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6">
        <f t="shared" si="0"/>
        <v>0</v>
      </c>
      <c r="AC16" s="37" t="e">
        <f t="shared" si="1"/>
        <v>#DIV/0!</v>
      </c>
      <c r="AD16" s="34">
        <f t="shared" si="2"/>
        <v>0</v>
      </c>
      <c r="AE16" s="38" t="str">
        <f t="shared" si="3"/>
        <v>KURANG LAYAK</v>
      </c>
    </row>
    <row r="17" spans="2:31" ht="20.100000000000001" customHeight="1" x14ac:dyDescent="0.25">
      <c r="B17" s="3" t="s">
        <v>191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32">
        <f t="shared" si="0"/>
        <v>0</v>
      </c>
      <c r="AC17" s="33" t="e">
        <f t="shared" si="1"/>
        <v>#DIV/0!</v>
      </c>
      <c r="AD17" s="34">
        <f t="shared" si="2"/>
        <v>0</v>
      </c>
      <c r="AE17" s="35" t="str">
        <f t="shared" si="3"/>
        <v>KURANG LAYAK</v>
      </c>
    </row>
    <row r="18" spans="2:31" ht="20.100000000000001" customHeight="1" x14ac:dyDescent="0.25">
      <c r="B18" s="7" t="s">
        <v>192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6">
        <f t="shared" si="0"/>
        <v>0</v>
      </c>
      <c r="AC18" s="37" t="e">
        <f t="shared" si="1"/>
        <v>#DIV/0!</v>
      </c>
      <c r="AD18" s="34">
        <f t="shared" si="2"/>
        <v>0</v>
      </c>
      <c r="AE18" s="38" t="str">
        <f t="shared" si="3"/>
        <v>KURANG LAYAK</v>
      </c>
    </row>
    <row r="19" spans="2:31" ht="20.100000000000001" customHeight="1" x14ac:dyDescent="0.25">
      <c r="B19" s="3" t="s">
        <v>193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32">
        <f t="shared" si="0"/>
        <v>0</v>
      </c>
      <c r="AC19" s="33" t="e">
        <f t="shared" si="1"/>
        <v>#DIV/0!</v>
      </c>
      <c r="AD19" s="34">
        <f t="shared" si="2"/>
        <v>0</v>
      </c>
      <c r="AE19" s="35" t="str">
        <f t="shared" si="3"/>
        <v>KURANG LAYAK</v>
      </c>
    </row>
    <row r="20" spans="2:31" ht="20.100000000000001" customHeight="1" x14ac:dyDescent="0.25">
      <c r="B20" s="7" t="s">
        <v>194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6">
        <f t="shared" si="0"/>
        <v>0</v>
      </c>
      <c r="AC20" s="37" t="e">
        <f t="shared" si="1"/>
        <v>#DIV/0!</v>
      </c>
      <c r="AD20" s="34">
        <f t="shared" si="2"/>
        <v>0</v>
      </c>
      <c r="AE20" s="38" t="str">
        <f t="shared" si="3"/>
        <v>KURANG LAYAK</v>
      </c>
    </row>
    <row r="21" spans="2:31" ht="20.100000000000001" customHeight="1" x14ac:dyDescent="0.25">
      <c r="B21" s="3" t="s">
        <v>195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32">
        <f t="shared" si="0"/>
        <v>0</v>
      </c>
      <c r="AC21" s="33" t="e">
        <f t="shared" si="1"/>
        <v>#DIV/0!</v>
      </c>
      <c r="AD21" s="34">
        <f t="shared" si="2"/>
        <v>0</v>
      </c>
      <c r="AE21" s="35" t="str">
        <f t="shared" si="3"/>
        <v>KURANG LAYAK</v>
      </c>
    </row>
    <row r="22" spans="2:31" ht="20.100000000000001" customHeight="1" x14ac:dyDescent="0.25">
      <c r="B22" s="7" t="s">
        <v>196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6">
        <f t="shared" si="0"/>
        <v>0</v>
      </c>
      <c r="AC22" s="37" t="e">
        <f t="shared" si="1"/>
        <v>#DIV/0!</v>
      </c>
      <c r="AD22" s="34">
        <f t="shared" si="2"/>
        <v>0</v>
      </c>
      <c r="AE22" s="38" t="str">
        <f t="shared" si="3"/>
        <v>KURANG LAYAK</v>
      </c>
    </row>
    <row r="23" spans="2:31" ht="20.100000000000001" customHeight="1" x14ac:dyDescent="0.25">
      <c r="B23" s="3" t="s">
        <v>197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32">
        <f t="shared" si="0"/>
        <v>0</v>
      </c>
      <c r="AC23" s="33" t="e">
        <f t="shared" si="1"/>
        <v>#DIV/0!</v>
      </c>
      <c r="AD23" s="34">
        <f t="shared" si="2"/>
        <v>0</v>
      </c>
      <c r="AE23" s="35" t="str">
        <f t="shared" si="3"/>
        <v>KURANG LAYAK</v>
      </c>
    </row>
    <row r="24" spans="2:31" ht="20.100000000000001" customHeight="1" x14ac:dyDescent="0.25">
      <c r="B24" s="7" t="s">
        <v>198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6">
        <f t="shared" si="0"/>
        <v>0</v>
      </c>
      <c r="AC24" s="37" t="e">
        <f t="shared" si="1"/>
        <v>#DIV/0!</v>
      </c>
      <c r="AD24" s="34">
        <f t="shared" si="2"/>
        <v>0</v>
      </c>
      <c r="AE24" s="38" t="str">
        <f t="shared" si="3"/>
        <v>KURANG LAYAK</v>
      </c>
    </row>
    <row r="25" spans="2:31" ht="20.100000000000001" customHeight="1" x14ac:dyDescent="0.25">
      <c r="B25" s="3" t="s">
        <v>199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32">
        <f t="shared" si="0"/>
        <v>0</v>
      </c>
      <c r="AC25" s="33" t="e">
        <f t="shared" si="1"/>
        <v>#DIV/0!</v>
      </c>
      <c r="AD25" s="34">
        <f t="shared" si="2"/>
        <v>0</v>
      </c>
      <c r="AE25" s="35" t="str">
        <f t="shared" si="3"/>
        <v>KURANG LAYAK</v>
      </c>
    </row>
    <row r="26" spans="2:31" ht="20.100000000000001" customHeight="1" x14ac:dyDescent="0.25">
      <c r="B26" s="7" t="s">
        <v>200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36">
        <f t="shared" si="0"/>
        <v>0</v>
      </c>
      <c r="AC26" s="37" t="e">
        <f t="shared" si="1"/>
        <v>#DIV/0!</v>
      </c>
      <c r="AD26" s="34">
        <f t="shared" si="2"/>
        <v>0</v>
      </c>
      <c r="AE26" s="38" t="str">
        <f t="shared" si="3"/>
        <v>KURANG LAYAK</v>
      </c>
    </row>
    <row r="27" spans="2:31" ht="20.100000000000001" customHeight="1" x14ac:dyDescent="0.25">
      <c r="B27" s="3" t="s">
        <v>201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32">
        <f t="shared" si="0"/>
        <v>0</v>
      </c>
      <c r="AC27" s="33" t="e">
        <f t="shared" si="1"/>
        <v>#DIV/0!</v>
      </c>
      <c r="AD27" s="34">
        <f t="shared" si="2"/>
        <v>0</v>
      </c>
      <c r="AE27" s="35" t="str">
        <f t="shared" si="3"/>
        <v>KURANG LAYAK</v>
      </c>
    </row>
    <row r="28" spans="2:31" ht="20.100000000000001" customHeight="1" x14ac:dyDescent="0.25">
      <c r="B28" s="7" t="s">
        <v>202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36">
        <f t="shared" si="0"/>
        <v>0</v>
      </c>
      <c r="AC28" s="37" t="e">
        <f t="shared" si="1"/>
        <v>#DIV/0!</v>
      </c>
      <c r="AD28" s="34">
        <f t="shared" si="2"/>
        <v>0</v>
      </c>
      <c r="AE28" s="38" t="str">
        <f t="shared" si="3"/>
        <v>KURANG LAYAK</v>
      </c>
    </row>
    <row r="29" spans="2:31" ht="20.100000000000001" customHeight="1" x14ac:dyDescent="0.25">
      <c r="B29" s="3" t="s">
        <v>203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32">
        <f t="shared" si="0"/>
        <v>0</v>
      </c>
      <c r="AC29" s="33" t="e">
        <f t="shared" si="1"/>
        <v>#DIV/0!</v>
      </c>
      <c r="AD29" s="34">
        <f t="shared" si="2"/>
        <v>0</v>
      </c>
      <c r="AE29" s="35" t="str">
        <f t="shared" si="3"/>
        <v>KURANG LAYAK</v>
      </c>
    </row>
    <row r="30" spans="2:31" ht="20.100000000000001" customHeight="1" x14ac:dyDescent="0.25">
      <c r="B30" s="7" t="s">
        <v>204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36">
        <f t="shared" si="0"/>
        <v>0</v>
      </c>
      <c r="AC30" s="37" t="e">
        <f t="shared" si="1"/>
        <v>#DIV/0!</v>
      </c>
      <c r="AD30" s="34">
        <f t="shared" si="2"/>
        <v>0</v>
      </c>
      <c r="AE30" s="38" t="str">
        <f t="shared" si="3"/>
        <v>KURANG LAYAK</v>
      </c>
    </row>
    <row r="31" spans="2:31" ht="20.100000000000001" customHeight="1" x14ac:dyDescent="0.25">
      <c r="B31" s="3" t="s">
        <v>205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32">
        <f t="shared" si="0"/>
        <v>0</v>
      </c>
      <c r="AC31" s="33" t="e">
        <f t="shared" si="1"/>
        <v>#DIV/0!</v>
      </c>
      <c r="AD31" s="34">
        <f t="shared" si="2"/>
        <v>0</v>
      </c>
      <c r="AE31" s="35" t="str">
        <f t="shared" si="3"/>
        <v>KURANG LAYAK</v>
      </c>
    </row>
    <row r="32" spans="2:31" ht="20.100000000000001" customHeight="1" x14ac:dyDescent="0.25">
      <c r="B32" s="7" t="s">
        <v>206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6">
        <f t="shared" si="0"/>
        <v>0</v>
      </c>
      <c r="AC32" s="37" t="e">
        <f t="shared" si="1"/>
        <v>#DIV/0!</v>
      </c>
      <c r="AD32" s="34">
        <f t="shared" si="2"/>
        <v>0</v>
      </c>
      <c r="AE32" s="38" t="str">
        <f t="shared" si="3"/>
        <v>KURANG LAYAK</v>
      </c>
    </row>
    <row r="33" spans="2:31" ht="20.100000000000001" customHeight="1" x14ac:dyDescent="0.25">
      <c r="B33" s="3" t="s">
        <v>207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32">
        <f t="shared" si="0"/>
        <v>0</v>
      </c>
      <c r="AC33" s="33" t="e">
        <f t="shared" si="1"/>
        <v>#DIV/0!</v>
      </c>
      <c r="AD33" s="34">
        <f t="shared" si="2"/>
        <v>0</v>
      </c>
      <c r="AE33" s="35" t="str">
        <f t="shared" si="3"/>
        <v>KURANG LAYAK</v>
      </c>
    </row>
    <row r="34" spans="2:31" ht="20.100000000000001" customHeight="1" x14ac:dyDescent="0.25">
      <c r="B34" s="7" t="s">
        <v>208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36">
        <f t="shared" si="0"/>
        <v>0</v>
      </c>
      <c r="AC34" s="37" t="e">
        <f t="shared" si="1"/>
        <v>#DIV/0!</v>
      </c>
      <c r="AD34" s="34">
        <f t="shared" si="2"/>
        <v>0</v>
      </c>
      <c r="AE34" s="38" t="str">
        <f t="shared" si="3"/>
        <v>KURANG LAYAK</v>
      </c>
    </row>
    <row r="35" spans="2:31" ht="26.1" customHeight="1" x14ac:dyDescent="0.25">
      <c r="B35" s="39" t="s">
        <v>209</v>
      </c>
      <c r="C35" s="40" t="e">
        <f t="shared" ref="C35:AD35" si="4">AVERAGE(C5:C34)</f>
        <v>#DIV/0!</v>
      </c>
      <c r="D35" s="40" t="e">
        <f t="shared" si="4"/>
        <v>#DIV/0!</v>
      </c>
      <c r="E35" s="40" t="e">
        <f t="shared" si="4"/>
        <v>#DIV/0!</v>
      </c>
      <c r="F35" s="40" t="e">
        <f t="shared" si="4"/>
        <v>#DIV/0!</v>
      </c>
      <c r="G35" s="40" t="e">
        <f t="shared" si="4"/>
        <v>#DIV/0!</v>
      </c>
      <c r="H35" s="40" t="e">
        <f t="shared" si="4"/>
        <v>#DIV/0!</v>
      </c>
      <c r="I35" s="40" t="e">
        <f t="shared" si="4"/>
        <v>#DIV/0!</v>
      </c>
      <c r="J35" s="40" t="e">
        <f t="shared" si="4"/>
        <v>#DIV/0!</v>
      </c>
      <c r="K35" s="40" t="e">
        <f t="shared" si="4"/>
        <v>#DIV/0!</v>
      </c>
      <c r="L35" s="40" t="e">
        <f t="shared" si="4"/>
        <v>#DIV/0!</v>
      </c>
      <c r="M35" s="40" t="e">
        <f t="shared" si="4"/>
        <v>#DIV/0!</v>
      </c>
      <c r="N35" s="40" t="e">
        <f t="shared" si="4"/>
        <v>#DIV/0!</v>
      </c>
      <c r="O35" s="40" t="e">
        <f t="shared" si="4"/>
        <v>#DIV/0!</v>
      </c>
      <c r="P35" s="40" t="e">
        <f t="shared" si="4"/>
        <v>#DIV/0!</v>
      </c>
      <c r="Q35" s="40" t="e">
        <f t="shared" si="4"/>
        <v>#DIV/0!</v>
      </c>
      <c r="R35" s="40" t="e">
        <f t="shared" si="4"/>
        <v>#DIV/0!</v>
      </c>
      <c r="S35" s="40" t="e">
        <f t="shared" si="4"/>
        <v>#DIV/0!</v>
      </c>
      <c r="T35" s="40" t="e">
        <f t="shared" si="4"/>
        <v>#DIV/0!</v>
      </c>
      <c r="U35" s="40" t="e">
        <f t="shared" si="4"/>
        <v>#DIV/0!</v>
      </c>
      <c r="V35" s="40" t="e">
        <f t="shared" si="4"/>
        <v>#DIV/0!</v>
      </c>
      <c r="W35" s="40" t="e">
        <f t="shared" si="4"/>
        <v>#DIV/0!</v>
      </c>
      <c r="X35" s="40" t="e">
        <f t="shared" si="4"/>
        <v>#DIV/0!</v>
      </c>
      <c r="Y35" s="40" t="e">
        <f t="shared" si="4"/>
        <v>#DIV/0!</v>
      </c>
      <c r="Z35" s="40" t="e">
        <f t="shared" si="4"/>
        <v>#DIV/0!</v>
      </c>
      <c r="AA35" s="40" t="e">
        <f t="shared" si="4"/>
        <v>#DIV/0!</v>
      </c>
      <c r="AB35" s="41">
        <f t="shared" si="4"/>
        <v>0</v>
      </c>
      <c r="AC35" s="42" t="e">
        <f t="shared" si="4"/>
        <v>#DIV/0!</v>
      </c>
      <c r="AD35" s="43">
        <f t="shared" si="4"/>
        <v>0</v>
      </c>
      <c r="AE35" s="44" t="str">
        <f>IF(AD35&gt;=0.81,"SANGAT DITERIMA (SANGAT BAIK)",IF(AD35&gt;=0.61,"DITERIMA (BAIK)","CUKUP / PERLU REVISI"))</f>
        <v>CUKUP / PERLU REVISI</v>
      </c>
    </row>
  </sheetData>
  <mergeCells count="7">
    <mergeCell ref="B2:AE2"/>
    <mergeCell ref="C3:G3"/>
    <mergeCell ref="H3:L3"/>
    <mergeCell ref="M3:Q3"/>
    <mergeCell ref="R3:V3"/>
    <mergeCell ref="W3:AA3"/>
    <mergeCell ref="AB3:AE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9"/>
  <sheetViews>
    <sheetView showGridLines="0" topLeftCell="A2" workbookViewId="0">
      <selection activeCell="B8" sqref="B8"/>
    </sheetView>
  </sheetViews>
  <sheetFormatPr defaultRowHeight="15" x14ac:dyDescent="0.25"/>
  <cols>
    <col min="1" max="1" width="3" customWidth="1"/>
    <col min="2" max="2" width="22" customWidth="1"/>
    <col min="3" max="3" width="30" customWidth="1"/>
    <col min="4" max="4" width="45" customWidth="1"/>
    <col min="5" max="5" width="20" customWidth="1"/>
  </cols>
  <sheetData>
    <row r="1" spans="2:5" ht="9.9499999999999993" customHeight="1" x14ac:dyDescent="0.25"/>
    <row r="2" spans="2:5" ht="42" customHeight="1" x14ac:dyDescent="0.25">
      <c r="B2" s="76" t="s">
        <v>210</v>
      </c>
      <c r="C2" s="76"/>
      <c r="D2" s="76"/>
      <c r="E2" s="76"/>
    </row>
    <row r="4" spans="2:5" x14ac:dyDescent="0.25">
      <c r="B4" s="77" t="s">
        <v>211</v>
      </c>
      <c r="C4" s="77"/>
      <c r="D4" s="77"/>
      <c r="E4" s="77"/>
    </row>
    <row r="5" spans="2:5" ht="33.950000000000003" customHeight="1" x14ac:dyDescent="0.25">
      <c r="B5" s="45" t="s">
        <v>212</v>
      </c>
      <c r="C5" s="46" t="s">
        <v>213</v>
      </c>
      <c r="D5" s="47" t="s">
        <v>214</v>
      </c>
      <c r="E5" s="48" t="s">
        <v>215</v>
      </c>
    </row>
    <row r="6" spans="2:5" ht="33.950000000000003" customHeight="1" x14ac:dyDescent="0.25">
      <c r="B6" s="45" t="s">
        <v>212</v>
      </c>
      <c r="C6" s="46" t="s">
        <v>216</v>
      </c>
      <c r="D6" s="47" t="s">
        <v>217</v>
      </c>
      <c r="E6" s="48" t="s">
        <v>218</v>
      </c>
    </row>
    <row r="7" spans="2:5" ht="33.950000000000003" customHeight="1" x14ac:dyDescent="0.25">
      <c r="B7" s="45" t="s">
        <v>219</v>
      </c>
      <c r="C7" s="46" t="s">
        <v>220</v>
      </c>
      <c r="D7" s="47" t="s">
        <v>221</v>
      </c>
      <c r="E7" s="48" t="s">
        <v>222</v>
      </c>
    </row>
    <row r="8" spans="2:5" ht="33.950000000000003" customHeight="1" x14ac:dyDescent="0.25">
      <c r="B8" s="45" t="s">
        <v>219</v>
      </c>
      <c r="C8" s="46" t="s">
        <v>223</v>
      </c>
      <c r="D8" s="47" t="s">
        <v>224</v>
      </c>
      <c r="E8" s="48" t="s">
        <v>225</v>
      </c>
    </row>
    <row r="9" spans="2:5" ht="33.950000000000003" customHeight="1" x14ac:dyDescent="0.25">
      <c r="B9" s="45" t="s">
        <v>212</v>
      </c>
      <c r="C9" s="46" t="s">
        <v>226</v>
      </c>
      <c r="D9" s="47" t="s">
        <v>227</v>
      </c>
      <c r="E9" s="48" t="s">
        <v>228</v>
      </c>
    </row>
    <row r="11" spans="2:5" x14ac:dyDescent="0.25">
      <c r="B11" s="66" t="s">
        <v>229</v>
      </c>
      <c r="C11" s="66"/>
      <c r="D11" s="66"/>
      <c r="E11" s="66"/>
    </row>
    <row r="12" spans="2:5" ht="32.1" customHeight="1" x14ac:dyDescent="0.25">
      <c r="B12" s="49" t="s">
        <v>230</v>
      </c>
      <c r="C12" s="50" t="s">
        <v>231</v>
      </c>
      <c r="D12" s="78" t="s">
        <v>232</v>
      </c>
      <c r="E12" s="78"/>
    </row>
    <row r="13" spans="2:5" ht="32.1" customHeight="1" x14ac:dyDescent="0.25">
      <c r="B13" s="51" t="s">
        <v>233</v>
      </c>
      <c r="C13" s="46" t="s">
        <v>234</v>
      </c>
      <c r="D13" s="79" t="s">
        <v>235</v>
      </c>
      <c r="E13" s="79"/>
    </row>
    <row r="14" spans="2:5" ht="32.1" customHeight="1" x14ac:dyDescent="0.25">
      <c r="B14" s="52" t="s">
        <v>236</v>
      </c>
      <c r="C14" s="53" t="s">
        <v>237</v>
      </c>
      <c r="D14" s="80" t="s">
        <v>238</v>
      </c>
      <c r="E14" s="80"/>
    </row>
    <row r="15" spans="2:5" ht="32.1" customHeight="1" x14ac:dyDescent="0.25">
      <c r="B15" s="54" t="s">
        <v>239</v>
      </c>
      <c r="C15" s="55" t="s">
        <v>240</v>
      </c>
      <c r="D15" s="79" t="s">
        <v>241</v>
      </c>
      <c r="E15" s="79"/>
    </row>
    <row r="16" spans="2:5" ht="32.1" customHeight="1" x14ac:dyDescent="0.25">
      <c r="B16" s="56" t="s">
        <v>242</v>
      </c>
      <c r="C16" s="57" t="s">
        <v>243</v>
      </c>
      <c r="D16" s="79" t="s">
        <v>244</v>
      </c>
      <c r="E16" s="79"/>
    </row>
    <row r="18" spans="2:5" x14ac:dyDescent="0.25">
      <c r="B18" s="77" t="s">
        <v>245</v>
      </c>
      <c r="C18" s="77"/>
      <c r="D18" s="77"/>
      <c r="E18" s="77"/>
    </row>
    <row r="19" spans="2:5" ht="65.099999999999994" customHeight="1" x14ac:dyDescent="0.25">
      <c r="B19" s="81" t="s">
        <v>246</v>
      </c>
      <c r="C19" s="81"/>
      <c r="D19" s="81"/>
      <c r="E19" s="81"/>
    </row>
  </sheetData>
  <mergeCells count="10">
    <mergeCell ref="D14:E14"/>
    <mergeCell ref="D15:E15"/>
    <mergeCell ref="D16:E16"/>
    <mergeCell ref="B18:E18"/>
    <mergeCell ref="B19:E19"/>
    <mergeCell ref="B2:E2"/>
    <mergeCell ref="B4:E4"/>
    <mergeCell ref="B11:E11"/>
    <mergeCell ref="D12:E12"/>
    <mergeCell ref="D13:E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4"/>
  <sheetViews>
    <sheetView showGridLines="0" topLeftCell="A14" workbookViewId="0">
      <selection activeCell="B14" sqref="B14:E14"/>
    </sheetView>
  </sheetViews>
  <sheetFormatPr defaultRowHeight="15" x14ac:dyDescent="0.25"/>
  <cols>
    <col min="1" max="1" width="3" customWidth="1"/>
    <col min="2" max="2" width="6" customWidth="1"/>
    <col min="3" max="3" width="36" customWidth="1"/>
    <col min="4" max="4" width="44" customWidth="1"/>
    <col min="5" max="5" width="18" customWidth="1"/>
  </cols>
  <sheetData>
    <row r="1" spans="2:5" ht="9.9499999999999993" customHeight="1" x14ac:dyDescent="0.25"/>
    <row r="2" spans="2:5" ht="45" customHeight="1" x14ac:dyDescent="0.25">
      <c r="B2" s="82" t="s">
        <v>247</v>
      </c>
      <c r="C2" s="82"/>
      <c r="D2" s="82"/>
      <c r="E2" s="82"/>
    </row>
    <row r="3" spans="2:5" ht="24" customHeight="1" x14ac:dyDescent="0.25">
      <c r="B3" s="83" t="s">
        <v>248</v>
      </c>
      <c r="C3" s="83"/>
      <c r="D3" s="83"/>
      <c r="E3" s="83"/>
    </row>
    <row r="5" spans="2:5" ht="24" customHeight="1" x14ac:dyDescent="0.25">
      <c r="B5" s="1" t="s">
        <v>4</v>
      </c>
      <c r="C5" s="2" t="s">
        <v>249</v>
      </c>
      <c r="D5" s="2" t="s">
        <v>250</v>
      </c>
      <c r="E5" s="1" t="s">
        <v>251</v>
      </c>
    </row>
    <row r="6" spans="2:5" ht="42" customHeight="1" x14ac:dyDescent="0.25">
      <c r="B6" s="3" t="s">
        <v>8</v>
      </c>
      <c r="C6" s="4" t="s">
        <v>252</v>
      </c>
      <c r="D6" s="5" t="s">
        <v>253</v>
      </c>
      <c r="E6" s="58" t="s">
        <v>254</v>
      </c>
    </row>
    <row r="7" spans="2:5" ht="42" customHeight="1" x14ac:dyDescent="0.25">
      <c r="B7" s="7" t="s">
        <v>12</v>
      </c>
      <c r="C7" s="8" t="s">
        <v>255</v>
      </c>
      <c r="D7" s="9" t="s">
        <v>256</v>
      </c>
      <c r="E7" s="59" t="s">
        <v>254</v>
      </c>
    </row>
    <row r="8" spans="2:5" ht="42" customHeight="1" x14ac:dyDescent="0.25">
      <c r="B8" s="3" t="s">
        <v>16</v>
      </c>
      <c r="C8" s="4" t="s">
        <v>257</v>
      </c>
      <c r="D8" s="5" t="s">
        <v>258</v>
      </c>
      <c r="E8" s="58" t="s">
        <v>254</v>
      </c>
    </row>
    <row r="9" spans="2:5" ht="42" customHeight="1" x14ac:dyDescent="0.25">
      <c r="B9" s="7" t="s">
        <v>20</v>
      </c>
      <c r="C9" s="8" t="s">
        <v>259</v>
      </c>
      <c r="D9" s="9" t="s">
        <v>260</v>
      </c>
      <c r="E9" s="59" t="s">
        <v>254</v>
      </c>
    </row>
    <row r="10" spans="2:5" ht="42" customHeight="1" x14ac:dyDescent="0.25">
      <c r="B10" s="3" t="s">
        <v>24</v>
      </c>
      <c r="C10" s="4" t="s">
        <v>261</v>
      </c>
      <c r="D10" s="5" t="s">
        <v>262</v>
      </c>
      <c r="E10" s="58" t="s">
        <v>254</v>
      </c>
    </row>
    <row r="12" spans="2:5" ht="24" customHeight="1" x14ac:dyDescent="0.25">
      <c r="B12" s="84" t="s">
        <v>263</v>
      </c>
      <c r="C12" s="84"/>
      <c r="D12" s="84"/>
      <c r="E12" s="84"/>
    </row>
    <row r="13" spans="2:5" ht="75" customHeight="1" x14ac:dyDescent="0.25">
      <c r="B13" s="81" t="s">
        <v>264</v>
      </c>
      <c r="C13" s="81"/>
      <c r="D13" s="81"/>
      <c r="E13" s="81"/>
    </row>
    <row r="14" spans="2:5" ht="69.95" customHeight="1" x14ac:dyDescent="0.25">
      <c r="B14" s="85" t="s">
        <v>265</v>
      </c>
      <c r="C14" s="85"/>
      <c r="D14" s="85"/>
      <c r="E14" s="85"/>
    </row>
  </sheetData>
  <mergeCells count="5">
    <mergeCell ref="B2:E2"/>
    <mergeCell ref="B3:E3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Panduan &amp; Profil Responden</vt:lpstr>
      <vt:lpstr>2. Kuesioner UAT (25 Butir)</vt:lpstr>
      <vt:lpstr>3. Rekap Data UAT (N=30)</vt:lpstr>
      <vt:lpstr>4. Rubrik &amp; Landasan Teori</vt:lpstr>
      <vt:lpstr>5. Lembar Validasi Ahli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2026-10-15T15:07:40Z</dcterms:created>
  <dcterms:modified xsi:type="dcterms:W3CDTF">2026-10-15T17:48:44Z</dcterms:modified>
  <cp:category/>
</cp:coreProperties>
</file>
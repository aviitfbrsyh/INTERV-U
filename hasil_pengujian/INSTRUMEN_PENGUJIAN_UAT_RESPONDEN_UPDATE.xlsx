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. Panduan &amp; Profil Responden" state="visible" r:id="rId4"/>
    <sheet sheetId="2" name="2. Kuesioner UAT (25 Butir)" state="visible" r:id="rId5"/>
    <sheet sheetId="3" name="3. Rekap Data UAT (N=30)" state="visible" r:id="rId6"/>
    <sheet sheetId="4" name="4. Rubrik &amp; Landasan Teori" state="visible" r:id="rId7"/>
    <sheet sheetId="5" name="5. Lembar Validasi Ahli" state="visible" r:id="rId8"/>
  </sheets>
  <calcPr calcId="171027"/>
</workbook>
</file>

<file path=xl/sharedStrings.xml><?xml version="1.0" encoding="utf-8"?>
<sst xmlns="http://schemas.openxmlformats.org/spreadsheetml/2006/main" count="524" uniqueCount="326">
  <si>
    <t xml:space="preserve">INSTRUMEN PENELITIAN USER ACCEPTANCE TESTING (UAT)
SISTEM SIMULASI WAWANCARA KERJA BERBASIS AI: INTERV-U
Program Studi Informatika / Sistem Informasi — Tahun 2026</t>
  </si>
  <si>
    <t>Peneliti: Avit Febriansyah  |  Dosen Pembimbing: Ibu Chanifah, M.Kom.  |  Objek: INTERV-U AI System</t>
  </si>
  <si>
    <t xml:space="preserve">PENGANTAR PENELITIAN:
Kuesioner ini dirancang untuk mengukur tingkat keberterimaan pengguna (User Acceptance Testing) terhadap sistem simulasi wawancara kerja cerdas INTERV-U. Sistem ini mengintegrasikan 4 framework evaluasi: STAR, FACT, Spencer &amp; Spencer (1993), dan ConCISE. Partisipasi dan penilaian objektif Saudara/i sangat berharga bagi penyusunan Laporan Tugas Akhir / Skripsi.</t>
  </si>
  <si>
    <t>A. PROTOKOL &amp; SKENARIO TUGAS RESPONDEN SEBELUM MENGISI KUESIONER</t>
  </si>
  <si>
    <t>No</t>
  </si>
  <si>
    <t>Tahapan Pengujian</t>
  </si>
  <si>
    <t>Aktivitas yang Harus Dilakukan Responden</t>
  </si>
  <si>
    <t>Estimasi Durasi</t>
  </si>
  <si>
    <t>1</t>
  </si>
  <si>
    <t>Tahap 1: Akses Sistem</t>
  </si>
  <si>
    <t>Buka tautan sistem INTERV-U (localhost:3000 / staging). Pastikan izin mikrofon browser aktif.</t>
  </si>
  <si>
    <t>± 1 Menit</t>
  </si>
  <si>
    <t>2</t>
  </si>
  <si>
    <t>Tahap 2: Input Profil &amp; Target</t>
  </si>
  <si>
    <t>Unggah berkas CV (PDF) dan input teks Job Description (JD) posisi yang ingin dilamar.</t>
  </si>
  <si>
    <t>± 3 Menit</t>
  </si>
  <si>
    <t>3</t>
  </si>
  <si>
    <t>Tahap 3: Simulasi Live Interview</t>
  </si>
  <si>
    <t>Jalankan sesi wawancara. Jawab 3–4 pertanyaan perilaku kerja (Behavioral Event) menggunakan suara/teks.</t>
  </si>
  <si>
    <t>± 7 Menit</t>
  </si>
  <si>
    <t>4</t>
  </si>
  <si>
    <t>Tahap 4: Eksplorasi Laporan Evaluasi</t>
  </si>
  <si>
    <t>Pelajari laporan hasil: skor keseluruhan, deteksi STAR, analisis 4 dimensi FACT, dan capaian level Spencer &amp; Spencer.</t>
  </si>
  <si>
    <t>± 4 Menit</t>
  </si>
  <si>
    <t>5</t>
  </si>
  <si>
    <t>Tahap 5: Sesi Coaching &amp; Practice</t>
  </si>
  <si>
    <t>Buka tab AI Coach (Siti Rahayu), ajukan pertanyaan tips, dengarkan audio TTS, dan coba perbaikan jawaban.</t>
  </si>
  <si>
    <t>6</t>
  </si>
  <si>
    <t>Tahap 6: Pengisian Kuesioner</t>
  </si>
  <si>
    <t>Beri penilaian objektif pada 25 butir pernyataan di lembar Sheet 2 kuesioner ini atau formulir online.</t>
  </si>
  <si>
    <t>B. FORMULIR IDENTITAS &amp; PROFIL RESPONDEN (DEMOGRAFI)</t>
  </si>
  <si>
    <t>Nama Lengkap / Inisial</t>
  </si>
  <si>
    <t>................................................................................</t>
  </si>
  <si>
    <t>(Tuliskan nama lengkap atau inisial Anda)</t>
  </si>
  <si>
    <t>Jenis Kelamin</t>
  </si>
  <si>
    <t>(Pilih salah satu)</t>
  </si>
  <si>
    <t>Usia (Tahun)</t>
  </si>
  <si>
    <t>(Isi angka umur Anda saat ini)</t>
  </si>
  <si>
    <t>Status Pendidikan / Karir</t>
  </si>
  <si>
    <t>(Pilih kategori status yang paling sesuai)</t>
  </si>
  <si>
    <t>Program Studi / Jurusan</t>
  </si>
  <si>
    <t>(Nama program studi / jurusan Anda)</t>
  </si>
  <si>
    <t>Pengalaman Wawancara Kerja</t>
  </si>
  <si>
    <t>(Frekuensi wawancara kerja yang pernah dialami)</t>
  </si>
  <si>
    <t>Bidang / Posisi Target</t>
  </si>
  <si>
    <t>(Posisi pekerjaan yang disimulasikan di INTERV-U)</t>
  </si>
  <si>
    <t xml:space="preserve">LEMBAR KUESIONER USER ACCEPTANCE TESTING (UAT) — SKALA LIKERT 1-5
Evaluasi Penerimaan Sistem INTERV-U Berbasis Extended TAM (Davis, 1989)</t>
  </si>
  <si>
    <t xml:space="preserve">Petunjuk: Beri tanda centang (✓) atau angka skor (1-5) pada kolom pilihan:
STS = 1 (Sangat Tidak Setuju) | TS = 2 (Tidak Setuju) | N = 3 (Netral) | S = 4 (Setuju) | SS = 5 (Sangat Setuju)</t>
  </si>
  <si>
    <t>Kode</t>
  </si>
  <si>
    <t>Variabel TAM / AI</t>
  </si>
  <si>
    <t>Pernyataan Evaluasi Sistem INTERV-U</t>
  </si>
  <si>
    <t xml:space="preserve">STS
(1)</t>
  </si>
  <si>
    <t xml:space="preserve">TS
(2)</t>
  </si>
  <si>
    <t xml:space="preserve">N
(3)</t>
  </si>
  <si>
    <t xml:space="preserve">S
(4)</t>
  </si>
  <si>
    <t xml:space="preserve">SS
(5)</t>
  </si>
  <si>
    <t>Skor (1-5)</t>
  </si>
  <si>
    <t>DIMENSI A: PERCEIVED USEFULNESS (PU) — PERSEPSI KEGUNAAN</t>
  </si>
  <si>
    <t>PU-01</t>
  </si>
  <si>
    <t>Perceived Usefulness</t>
  </si>
  <si>
    <t>Sistem INTERV-U membantu saya mempersiapkan diri lebih percaya diri dalam menghadapi wawancara kerja yang sebenarnya.</t>
  </si>
  <si>
    <t/>
  </si>
  <si>
    <t>PU-02</t>
  </si>
  <si>
    <t>Umpan balik berbasis framework STAR (Situation, Task, Action, Result) memudahkan saya menyusun jawaban wawancara yang lebih terstruktur dan berbobot.</t>
  </si>
  <si>
    <t>PU-03</t>
  </si>
  <si>
    <t>Evaluasi framework FACT (Feeling, Action, Context, Thinking) membantu saya memastikan jawaban tidak hanya teori hafalan, tetapi mencerminkan aksi nyata.</t>
  </si>
  <si>
    <t>PU-04</t>
  </si>
  <si>
    <t>Pemetaan kompetensi Spencer &amp; Spencer (1993) membantu saya mengetahui level kemampuan perilaku kerja saya secara kuantitatif (Level 1-5).</t>
  </si>
  <si>
    <t>PU-05</t>
  </si>
  <si>
    <t>Fitur contoh jawaban yang lebih baik (Better Answer Example) dan trik wawancara (Hack) memberikan referensi konkret untuk peningkatan kualitas jawaban.</t>
  </si>
  <si>
    <t>DIMENSI B: PERCEIVED EASE OF USE (PEOU) — PERSEPSI KEMUDAHAN PENGGUNAAN</t>
  </si>
  <si>
    <t>PEOU-01</t>
  </si>
  <si>
    <t>Ease of Use</t>
  </si>
  <si>
    <t>Antarmuka pengguna (User Interface) INTERV-U modern, bersih, dan mudah dipahami langkah penggunaannya.</t>
  </si>
  <si>
    <t>7</t>
  </si>
  <si>
    <t>PEOU-02</t>
  </si>
  <si>
    <t>Proses unggah dokumen CV dan pengisian teks kualifikasi Job Description (JD) berlangsung cepat, praktis, dan tidak membingungkan.</t>
  </si>
  <si>
    <t>8</t>
  </si>
  <si>
    <t>PEOU-03</t>
  </si>
  <si>
    <t>Interaksi tanya jawab selama simulasi wawancara langsung (Live Interview) terasa alami dan mudah dioperasikan.</t>
  </si>
  <si>
    <t>9</t>
  </si>
  <si>
    <t>PEOU-04</t>
  </si>
  <si>
    <t>Laporan evaluasi hasil wawancara (skor angka, diagram kompetensi, dan status ringkasan) disajikan secara informatif dan mudah dipahami.</t>
  </si>
  <si>
    <t>10</t>
  </si>
  <si>
    <t>PEOU-05</t>
  </si>
  <si>
    <t>Saya dapat mengoperasikan seluruh alur sistem INTERV-U secara mandiri tanpa memerlukan buku panduan khusus atau bantuan teknis rumit.</t>
  </si>
  <si>
    <t>DIMENSI C: AI EVALUATION &amp; FEEDBACK QUALITY (AQ) — KUALITAS EVALUASI AI</t>
  </si>
  <si>
    <t>11</t>
  </si>
  <si>
    <t>AQ-01</t>
  </si>
  <si>
    <t>AI Quality</t>
  </si>
  <si>
    <t>Pertanyaan wawancara yang diajukan oleh AI selaras dan relevan dengan profil CV serta kualifikasi posisi pekerjaan yang saya lamar.</t>
  </si>
  <si>
    <t>12</t>
  </si>
  <si>
    <t>AQ-02</t>
  </si>
  <si>
    <t>Deteksi kelengkapan komponen STAR beserta kutipan bukti (evidence) dari kalimat jawaban saya dinilai akurat dan objektif.</t>
  </si>
  <si>
    <t>13</t>
  </si>
  <si>
    <t>AQ-03</t>
  </si>
  <si>
    <t>Skor 4 dimensi FACT (Feeling, Action, Context, Thinking) mampu menilai keaslian pengalaman nyata dan kedalaman tindakan saya dengan tepat.</t>
  </si>
  <si>
    <t>14</t>
  </si>
  <si>
    <t>AQ-04</t>
  </si>
  <si>
    <t>Penetapan level kompetensi Spencer &amp; Spencer (Level 1-5) beserta catatannya logis dan sesuai dengan pembuktian pada jawaban saya.</t>
  </si>
  <si>
    <t>15</t>
  </si>
  <si>
    <t>AQ-05</t>
  </si>
  <si>
    <t>Kategorisasi tipe kandidat (Candidate Archetype) dan rekomendasi akhir (Verdict) mencerminkan performa wawancara saya secara komprehensif.</t>
  </si>
  <si>
    <t>DIMENSI D: COACHING &amp; INTERACTIVE EXPERIENCE (CE) — KUALITAS COACHING &amp; AUDIO</t>
  </si>
  <si>
    <t>16</t>
  </si>
  <si>
    <t>CE-01</t>
  </si>
  <si>
    <t>Coaching Quality</t>
  </si>
  <si>
    <t>Interaksi dengan AI Career Coach (Persona: Siti Rahayu) terasa responsif, komunikatif, dan menyerupai bimbingan konsultan karir profesional.</t>
  </si>
  <si>
    <t>17</t>
  </si>
  <si>
    <t>CE-02</t>
  </si>
  <si>
    <t>Saran perbaikan jawaban dari AI Coach bersifat taktis, membangun, dan langsung dapat saya terapkan pada latihan sesi berikutnya.</t>
  </si>
  <si>
    <t>18</t>
  </si>
  <si>
    <t>CE-03</t>
  </si>
  <si>
    <t>Fitur latihan ulang (Practice Mode) membantu saya memperbaiki kelemahan jawaban sebelumnya dengan panduan saran perbaikan.</t>
  </si>
  <si>
    <t>19</t>
  </si>
  <si>
    <t>CE-04</t>
  </si>
  <si>
    <t>Kualitas audio Text-to-Speech (TTS) dari sistem terdengar jernih, natural, dan memiliki intonasi artikulasi yang nyaman didengar.</t>
  </si>
  <si>
    <t>20</t>
  </si>
  <si>
    <t>CE-05</t>
  </si>
  <si>
    <t>Analisis kata pengisi (Filler Words) membantu saya menyadari kebiasaan jeda bicara (misal: "ehm", "anu") agar bicara lebih tenang.</t>
  </si>
  <si>
    <t>DIMENSI E: BEHAVIORAL INTENTION &amp; SATISFACTION (BI) — NIAT PENGGUNAAN &amp; KEPUASAN</t>
  </si>
  <si>
    <t>21</t>
  </si>
  <si>
    <t>BI-01</t>
  </si>
  <si>
    <t>Behavioral Intention</t>
  </si>
  <si>
    <t>Secara menyeluruh, saya merasa sangat puas dengan pengalaman menggunakan sistem simulasi wawancara INTERV-U.</t>
  </si>
  <si>
    <t>22</t>
  </si>
  <si>
    <t>BI-02</t>
  </si>
  <si>
    <t>Saya berencana akan menggunakan kembali sistem INTERV-U sebelum saya menghadapi jadwal wawancara kerja yang sebenarnya.</t>
  </si>
  <si>
    <t>23</t>
  </si>
  <si>
    <t>BI-03</t>
  </si>
  <si>
    <t>Saya akan merekomendasikan sistem simulasi wawancara INTERV-U kepada teman kuliah, rekan pencari kerja, atau komunitas saya.</t>
  </si>
  <si>
    <t>24</t>
  </si>
  <si>
    <t>BI-04</t>
  </si>
  <si>
    <t>Sistem INTERV-U jauh lebih efektif dan mendalam dibandingkan latihan wawancara konvensional mandiri di depan cermin.</t>
  </si>
  <si>
    <t>25</t>
  </si>
  <si>
    <t>BI-05</t>
  </si>
  <si>
    <t>Sistem INTERV-U sangat layak diadopsi oleh Pusat Karir Kampus / Career Development Center sebagai sarana persiapan karir mahasiswa.</t>
  </si>
  <si>
    <t>FEEDBACK KUALITATIF &amp; SARAN PENGEMBANGAN TERBUKA</t>
  </si>
  <si>
    <t>1. Fitur apa dari INTERV-U yang menurut Anda paling membantu dan memberikan dampak positif paling besar? Jelaskan alasannya.</t>
  </si>
  <si>
    <t>(Tuliskan jawaban saran Anda di sini...)</t>
  </si>
  <si>
    <t>2. Kendala, kebingungan, atau kesulitan teknis apa yang Anda rasakan selama menggunakan sistem INTERV-U?</t>
  </si>
  <si>
    <t>3. Apa saran atau fitur tambahan yang menurut Anda perlu ditambahkan untuk menyempurnakan sistem INTERV-U ke depannya?</t>
  </si>
  <si>
    <t xml:space="preserve">TABEL REKAPITULASI DATA MENTAH PENGUJIAN USER ACCEPTANCE TESTING (UAT)
Template Pengumpulan Skor Skala Likert 1-5 (N = 30 Responden) — Rumus Otomatis Aktif</t>
  </si>
  <si>
    <t>PU (Kegunaan)</t>
  </si>
  <si>
    <t>PEOU (Kemudahan)</t>
  </si>
  <si>
    <t>AQ (Kualitas AI)</t>
  </si>
  <si>
    <t>CE (Coaching)</t>
  </si>
  <si>
    <t>BI (Niat Pakai)</t>
  </si>
  <si>
    <t>REKAPITULASI INDIVIDUAL</t>
  </si>
  <si>
    <t>Responden</t>
  </si>
  <si>
    <t>PU1</t>
  </si>
  <si>
    <t>PU2</t>
  </si>
  <si>
    <t>PU3</t>
  </si>
  <si>
    <t>PU4</t>
  </si>
  <si>
    <t>PU5</t>
  </si>
  <si>
    <t>PE1</t>
  </si>
  <si>
    <t>PE2</t>
  </si>
  <si>
    <t>PE3</t>
  </si>
  <si>
    <t>PE4</t>
  </si>
  <si>
    <t>PE5</t>
  </si>
  <si>
    <t>AQ1</t>
  </si>
  <si>
    <t>AQ2</t>
  </si>
  <si>
    <t>AQ3</t>
  </si>
  <si>
    <t>AQ4</t>
  </si>
  <si>
    <t>AQ5</t>
  </si>
  <si>
    <t>CE1</t>
  </si>
  <si>
    <t>CE2</t>
  </si>
  <si>
    <t>CE3</t>
  </si>
  <si>
    <t>CE4</t>
  </si>
  <si>
    <t>CE5</t>
  </si>
  <si>
    <t>BI1</t>
  </si>
  <si>
    <t>BI2</t>
  </si>
  <si>
    <t>BI3</t>
  </si>
  <si>
    <t>BI4</t>
  </si>
  <si>
    <t>BI5</t>
  </si>
  <si>
    <t>Total Skor</t>
  </si>
  <si>
    <t>Rata-rata</t>
  </si>
  <si>
    <t>% Kelayakan</t>
  </si>
  <si>
    <t>Interpretasi Kategori</t>
  </si>
  <si>
    <t>Resp-01</t>
  </si>
  <si>
    <t>Resp-02</t>
  </si>
  <si>
    <t>Resp-03</t>
  </si>
  <si>
    <t>Resp-04</t>
  </si>
  <si>
    <t>Resp-05</t>
  </si>
  <si>
    <t>Resp-06</t>
  </si>
  <si>
    <t>Resp-07</t>
  </si>
  <si>
    <t>Resp-08</t>
  </si>
  <si>
    <t>Resp-09</t>
  </si>
  <si>
    <t>Resp-10</t>
  </si>
  <si>
    <t>Resp-11</t>
  </si>
  <si>
    <t>Resp-12</t>
  </si>
  <si>
    <t>Resp-13</t>
  </si>
  <si>
    <t>Resp-14</t>
  </si>
  <si>
    <t>Resp-15</t>
  </si>
  <si>
    <t>Resp-16</t>
  </si>
  <si>
    <t>Resp-17</t>
  </si>
  <si>
    <t>Resp-18</t>
  </si>
  <si>
    <t>Resp-19</t>
  </si>
  <si>
    <t>Resp-20</t>
  </si>
  <si>
    <t>Resp-21</t>
  </si>
  <si>
    <t>Resp-22</t>
  </si>
  <si>
    <t>Resp-23</t>
  </si>
  <si>
    <t>Resp-24</t>
  </si>
  <si>
    <t>Resp-25</t>
  </si>
  <si>
    <t>Resp-26</t>
  </si>
  <si>
    <t>Resp-27</t>
  </si>
  <si>
    <t>Resp-28</t>
  </si>
  <si>
    <t>Resp-29</t>
  </si>
  <si>
    <t>Resp-30</t>
  </si>
  <si>
    <t>RATA-RATA TOTAL</t>
  </si>
  <si>
    <t xml:space="preserve">LANDASAN TEORETIS PENGUKURAN &amp; RUBRIK INTERPRETASI HASIL UAT
Referensi Metodologi Penelitian untuk Bab III dan Bab IV Skripsi — Dilengkapi Link Sumber Resmi Valid</t>
  </si>
  <si>
    <t>A. MODEL TEORI: EXTENDED TECHNOLOGY ACCEPTANCE MODEL (TAM) &amp; EVALUASI AI</t>
  </si>
  <si>
    <t>Peneliti / Rujukan</t>
  </si>
  <si>
    <t>Konstruk / Dimensi</t>
  </si>
  <si>
    <t>Definisi Operasional Penelitian</t>
  </si>
  <si>
    <t>Jumlah Butir</t>
  </si>
  <si>
    <t>Tautan Sumber Resmi (Link Aktif Valid)</t>
  </si>
  <si>
    <t>Davis (1989)</t>
  </si>
  <si>
    <t>Perceived Usefulness (PU)</t>
  </si>
  <si>
    <t>Sejauh mana seseorang percaya bahwa menggunakan sistem tertentu akan meningkatkan kinerja pekerjaannya.</t>
  </si>
  <si>
    <t>5 Butir Item (PU01-05)</t>
  </si>
  <si>
    <t>MIS Quarterly: doi.org/10.2307/249008</t>
  </si>
  <si>
    <t>Perceived Ease of Use (PEOU)</t>
  </si>
  <si>
    <t>Sejauh mana seseorang percaya bahwa menggunakan sistem tertentu tidak membutuhkan usaha yang melelahkan (bebas kesulitan).</t>
  </si>
  <si>
    <t>5 Butir Item (PE01-05)</t>
  </si>
  <si>
    <t>JSTOR: jstor.org/stable/249008</t>
  </si>
  <si>
    <t>Spencer &amp; Spencer (1993)</t>
  </si>
  <si>
    <t>AI Feedback Quality (AQ)</t>
  </si>
  <si>
    <t>Akurasi, relevansi, dan ketajaman multi-framework evaluasi AI (STAR, FACT, Spencer 1993, ConCISE).</t>
  </si>
  <si>
    <t>5 Butir Item (AQ01-05)</t>
  </si>
  <si>
    <t>Open Library: archive.org/details/competenceatwork00spen</t>
  </si>
  <si>
    <t>McClelland (1973) / Pulakos (2004)</t>
  </si>
  <si>
    <t>Coaching Experience (CE)</t>
  </si>
  <si>
    <t>Kualitas interaksi bimbingan konsultan karir AI (Siti Rahayu) dan kejelasan Text-to-Speech audio.</t>
  </si>
  <si>
    <t>5 Butir Item (CE01-05)</t>
  </si>
  <si>
    <t>American Psychologist: doi.org/10.1037/h0034092</t>
  </si>
  <si>
    <t>Davis (1989) / Venkatesh (2000)</t>
  </si>
  <si>
    <t>Behavioral Intention (BI)</t>
  </si>
  <si>
    <t>Tingkat kekuatan niat pengguna untuk mengulang pemakaian dan merekomendasikan sistem kepada orang lain.</t>
  </si>
  <si>
    <t>5 Butir Item (BI01-05)</t>
  </si>
  <si>
    <t>Management Science: doi.org/10.1287/mnsc.46.2.186.11926</t>
  </si>
  <si>
    <t>B. KRITERIA INTERPRETASI KELAYAKAN UAT &amp; SKALA PENGUKURAN (Arikunto, 2019 &amp; Sugiyono, 2018)</t>
  </si>
  <si>
    <t>Rentang Skor</t>
  </si>
  <si>
    <t>Kategori Kelayakan</t>
  </si>
  <si>
    <t>Implikasi / Makna Kualitatif</t>
  </si>
  <si>
    <t>Tindak Lanjut</t>
  </si>
  <si>
    <t>Tautan Rujukan Buku Resmi</t>
  </si>
  <si>
    <t>81.00% – 100.00%</t>
  </si>
  <si>
    <t>Sangat Layak / Sangat Diterima</t>
  </si>
  <si>
    <t>Sistem memenuhi seluruh ekspektasi pengguna secara prima. Tidak memerlukan perbaikan mayor.</t>
  </si>
  <si>
    <t>Siap Rilis</t>
  </si>
  <si>
    <t>Perpusnas RI ID: 1138812 (Arikunto)</t>
  </si>
  <si>
    <t>61.00% – 80.99%</t>
  </si>
  <si>
    <t>Layak / Diterima</t>
  </si>
  <si>
    <t>Sistem diterima dengan baik oleh pengguna. Saran minor dapat diakomodasi untuk rilis lanjutan.</t>
  </si>
  <si>
    <t>Rilis Bertahap</t>
  </si>
  <si>
    <t>Perpusnas RI ID: 1152063 (Sugiyono)</t>
  </si>
  <si>
    <t>41.00% – 60.99%</t>
  </si>
  <si>
    <t>Cukup Layak / Cukup</t>
  </si>
  <si>
    <t>Sistem masih memiliki beberapa kekurangan yang harus diperbaiki sebelum diterapkan secara luas.</t>
  </si>
  <si>
    <t>Revisi Ringan</t>
  </si>
  <si>
    <t>Google Books: Prosedur Penelitian</t>
  </si>
  <si>
    <t>21.00% – 40.99%</t>
  </si>
  <si>
    <t>Kurang Layak</t>
  </si>
  <si>
    <t>Sistem belum memenuhi standar kebutuhan pengguna dan memerlukan revisi substansial.</t>
  </si>
  <si>
    <t>Revisi Mayor</t>
  </si>
  <si>
    <t>Google Books: Metode Penelitian R&amp;D</t>
  </si>
  <si>
    <t>0.00% – 20.99%</t>
  </si>
  <si>
    <t>Sangat Tidak Layak</t>
  </si>
  <si>
    <t>Sistem ditolak oleh pengguna dan memerlukan perombakan arsitektur/konsep secara menyeluruh.</t>
  </si>
  <si>
    <t>Ditolak Total</t>
  </si>
  <si>
    <t>Katalog Online Perpustakaan Nasional RI</t>
  </si>
  <si>
    <t>C. FORMULA PERHITUNGAN PERSENTASE KELAYAKAN</t>
  </si>
  <si>
    <t xml:space="preserve">RUMUS PERSENTASE SKOR KELAYAKAN:
% Kelayakan = (Total Skor Aktual / Total Skor Maksimum Ideal) × 100%
Di mana:
• Total Skor Aktual = Jumlah seluruh nilai jawaban responden pada indikator terkait
• Total Skor Maksimum Ideal = N (Jumlah Responden) × K (Jumlah Butir Pertanyaan) × 5 (Bobot Jawaban Tertinggi "Sangat Setuju")
• Referensi: Arikunto (2019: hlm. 245) dan Sugiyono (2018: hlm. 135)</t>
  </si>
  <si>
    <t>D. PERBANDINGAN TEORI PENENTUAN JUMLAH MINIMUM RESPONDEN PENELITIAN</t>
  </si>
  <si>
    <t>Teori / Tokoh Ahli</t>
  </si>
  <si>
    <t>Judul Rujukan / Publikasi</t>
  </si>
  <si>
    <t>Kaidah / Formula Jumlah Sampel Minimum</t>
  </si>
  <si>
    <t>Relevansi INTERV-U</t>
  </si>
  <si>
    <t>Tautan Sumber Resmi (Link DOI / Web Aktif)</t>
  </si>
  <si>
    <t>Jakob Nielsen &amp; Thomas Landauer (1993)</t>
  </si>
  <si>
    <t>ACM CHI 93 &amp; NN/g Usability Testing Model</t>
  </si>
  <si>
    <t>5 user menemukan ~85% masalah kegunaan; 15-20 user mencapai saturasi penuh (&gt;95% masalah sistem).</t>
  </si>
  <si>
    <t xml:space="preserve">Sangat Relevan
(Usability UI &amp; Alur)</t>
  </si>
  <si>
    <t>ACM DOI: doi.org/10.1145/169059.169166</t>
  </si>
  <si>
    <t>Roscoe (1975)</t>
  </si>
  <si>
    <t>Fundamental Research Statistics for Behavioral Sciences</t>
  </si>
  <si>
    <t>Kaidah praktis (Rule of Thumb): Ukuran sampel antara 30 hingga 500 subjek adalah tepat untuk riset perilaku.</t>
  </si>
  <si>
    <t xml:space="preserve">SANGAT TEPAT ⭐
(Dasar N=30 Avit)</t>
  </si>
  <si>
    <t>Open Library: openlibrary.org/books/OL5063071M</t>
  </si>
  <si>
    <t>Hair, Black, Babin, &amp; Anderson (2010)</t>
  </si>
  <si>
    <t>Multivariate Data Analysis (Pearson 7th ed.)</t>
  </si>
  <si>
    <t>Rasio observasi terhadap variabel minimal 5:1 s/d 10:1. Untuk 5 dimensi TAM = 25 s/d 50 sampel responden.</t>
  </si>
  <si>
    <t xml:space="preserve">Sangat Mendukung
(5 dimensi × 6 = 30)</t>
  </si>
  <si>
    <t>ResearchGate: publication/265350313</t>
  </si>
  <si>
    <t>Taro Yamane / Slovin (1967)</t>
  </si>
  <si>
    <t>Elementary Sampling Theory</t>
  </si>
  <si>
    <t>n = N / (1 + N(e^2)). Membutuhkan angka pasti populasi total (N). Tidak bisa jika populasi tak hingga.</t>
  </si>
  <si>
    <t xml:space="preserve">Kurang Cocok
(Populasi Tak Terhingga)</t>
  </si>
  <si>
    <t>ResearchGate: publication/285226466</t>
  </si>
  <si>
    <t>Gay, Mills, &amp; Airasian (2012)</t>
  </si>
  <si>
    <t>Educational Research: Competencies for Analysis</t>
  </si>
  <si>
    <t>Untuk penelitian deskriptif kuantitatif, ukuran sampel minimum yang dapat diterima adalah minimal 30 subjek.</t>
  </si>
  <si>
    <t xml:space="preserve">Mendukung N=30
(Batas Uji Parametrik)</t>
  </si>
  <si>
    <t>Pearson Catalog: ISBN 9780132613170</t>
  </si>
  <si>
    <t>E. KESIMPULAN &amp; JUSTIFIKASI AKADEMIK PEMILIHAN SAMPEL SKRIPSI AVIT</t>
  </si>
  <si>
    <t xml:space="preserve">REKOMENDASI UKURAN SAMPEL: N = 30 RESPONDEN
Justifikasi Metodologis untuk Skripsi Avit:
1. Memenuhi Kaidah Roscoe (1975): Sampel 30-500 subjek adalah representatif dan memadai untuk riset penerimaan teknologi informasi.
2. Memenuhi Rasio Konstruk Hair et al. (2010): 5 dimensi TAM × 6 observasi = 30 responden, memenuhi rasio observasi ideal (5:1 s/d 10:1).
3. Memenuhi Teorema Limit Pusat (Central Limit Theorem): Ukuran sampel N ≥ 30 menjamin sebaran rata-rata data mendekati distribusi normal sehingga aman untuk analisis statistik kuantitatif deskriptif.
4. Melampaui Batas Saturasi Usability Nielsen &amp; Landauer (1993): Evaluasi antarmuka dan interaksi pengguna telah mencapai saturasi penuh pada N ≥ 15-20.</t>
  </si>
  <si>
    <t xml:space="preserve">LEMBAR PENILAIAN VALIDASI AHLI (EXPERT JUDGMENT)
INSTRUMEN USER ACCEPTANCE TESTING (UAT) SISTEM INTERV-U
Untuk Dosen Pembimbing / Praktisi Human Resources (HR)</t>
  </si>
  <si>
    <t>Nama Validator: Ibu Chanifah, M.Kom. / Praktisi HR Eksternal  |  Instansi: Universitas</t>
  </si>
  <si>
    <t>Aspek Validasi Ahli</t>
  </si>
  <si>
    <t>Indikator Penilaian Ahli</t>
  </si>
  <si>
    <t>Status Validasi</t>
  </si>
  <si>
    <t>Kesesuaian Konstruk Teori TAM</t>
  </si>
  <si>
    <t>Butir-butir pertanyaan pada variabel PU, PEOU, dan BI telah mencerminkan model Davis (1989) dengan tepat.</t>
  </si>
  <si>
    <t xml:space="preserve">[  ] Layak
[  ] Perlu Revisi</t>
  </si>
  <si>
    <t>Relevansi Multi-Framework AI</t>
  </si>
  <si>
    <t>Instrumen telah merefleksikan evaluasi STAR, FACT, dan Kamus Kompetensi Spencer &amp; Spencer (1993).</t>
  </si>
  <si>
    <t>Ketepatan Bahasa &amp; Kejelasan Butir</t>
  </si>
  <si>
    <t>Kalimat pernyataan tidak menimbulkan penafsiran ganda (ambigu) dan mudah dipahami oleh responden.</t>
  </si>
  <si>
    <t>Struktur Skala Pengukuran Likert</t>
  </si>
  <si>
    <t>Gradasi 5 pilihan skala (STS, TS, N, S, SS) proporsional dan memiliki bobot nilai yang terukur secara statistik.</t>
  </si>
  <si>
    <t>Kelayakan Skenario Pengujian</t>
  </si>
  <si>
    <t>Skenario uji terarah (15-20 menit) realistis dan mampu memberikan gambaran komprehensif bagi responden.</t>
  </si>
  <si>
    <t>KESIMPULAN UMUM VALIDATOR AHLI</t>
  </si>
  <si>
    <t xml:space="preserve">[  ] Instrumen DINYATAKAN LAYAK untuk digunakan dalam pengumpulan data penelitian tanpa revisi.
[  ] Instrumen DINYATAKAN LAYAK dengan perbaikan minor sesuai catatan saran.
[  ] Instrumen DINYATAKAN TIDAK LAYAK dan perlu dikonsultasikan ulang.
Catatan Tambahan Validator: .................................................................................................................................</t>
  </si>
  <si>
    <t xml:space="preserve">Mengetahui / Mengesahkan,
Validator Ahli / Dosen Pembimbing,
( Ibu Chanifah, M.Kom.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</si>
</sst>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7" x14ac:knownFonts="1">
    <font>
      <color theme="1"/>
      <family val="2"/>
      <scheme val="minor"/>
      <sz val="11"/>
      <name val="Calibri"/>
    </font>
    <font>
      <b/>
      <color rgb="FFFFFFFF"/>
      <sz val="13"/>
      <name val="Segoe UI"/>
    </font>
    <font>
      <color rgb="FFFFFFFF"/>
      <sz val="10"/>
      <name val="Segoe UI"/>
    </font>
    <font>
      <color rgb="FF856404"/>
      <sz val="9"/>
      <name val="Segoe UI"/>
    </font>
    <font>
      <b/>
      <color rgb="FFFFFFFF"/>
      <sz val="11"/>
      <name val="Segoe UI"/>
    </font>
    <font>
      <b/>
      <color rgb="FFFFFFFF"/>
      <sz val="9"/>
      <name val="Segoe UI"/>
    </font>
    <font>
      <b/>
      <color rgb="FF212121"/>
      <sz val="10"/>
      <name val="Segoe UI"/>
    </font>
    <font>
      <b/>
      <color rgb="FF0D47A1"/>
      <sz val="10"/>
      <name val="Segoe UI"/>
    </font>
    <font>
      <color rgb="FF212121"/>
      <sz val="10"/>
      <name val="Segoe UI"/>
    </font>
    <font>
      <b/>
      <color rgb="FF1B5E20"/>
      <sz val="10"/>
      <name val="Segoe UI"/>
    </font>
    <font>
      <color rgb="FF546E7A"/>
      <sz val="10"/>
      <name val="Segoe UI"/>
    </font>
    <font>
      <i/>
      <color rgb="FF546E7A"/>
      <sz val="9"/>
      <name val="Segoe UI"/>
    </font>
    <font>
      <b/>
      <color rgb="FFFFFFFF"/>
      <sz val="12"/>
      <name val="Segoe UI"/>
    </font>
    <font>
      <b/>
      <color rgb="FFFFFFFF"/>
      <sz val="8"/>
      <name val="Segoe UI"/>
    </font>
    <font>
      <b/>
      <color rgb="FFFFFFFF"/>
      <sz val="10"/>
      <name val="Segoe UI"/>
    </font>
    <font>
      <color rgb="FF546E7A"/>
      <sz val="9"/>
      <name val="Segoe UI"/>
    </font>
    <font>
      <color rgb="FF212121"/>
      <sz val="9.5"/>
      <name val="Segoe UI"/>
    </font>
    <font>
      <b/>
      <color rgb="FF212121"/>
      <sz val="9"/>
      <name val="Segoe UI"/>
    </font>
    <font>
      <b/>
      <color rgb="FFFFFFFF"/>
      <sz val="8.5"/>
      <name val="Segoe UI"/>
    </font>
    <font>
      <b/>
      <sz val="9"/>
      <name val="Segoe UI"/>
    </font>
    <font>
      <b/>
      <color rgb="FF1B5E20"/>
      <sz val="9"/>
      <name val="Segoe UI"/>
    </font>
    <font>
      <b/>
      <color rgb="FF1A237E"/>
      <sz val="9"/>
      <name val="Segoe UI"/>
    </font>
    <font>
      <b/>
      <color rgb="FF546E7A"/>
      <sz val="9"/>
      <name val="Segoe UI"/>
    </font>
    <font>
      <b/>
      <color rgb="FF0D47A1"/>
      <sz val="9.5"/>
      <name val="Segoe UI"/>
    </font>
    <font>
      <color rgb="FF212121"/>
      <sz val="9"/>
      <name val="Segoe UI"/>
    </font>
    <font>
      <b/>
      <u/>
      <color rgb="FF0D47A1"/>
      <sz val="8.5"/>
      <name val="Segoe UI"/>
    </font>
    <font>
      <b/>
      <color rgb="FF1B5E20"/>
      <sz val="9.5"/>
      <name val="Segoe UI"/>
    </font>
    <font>
      <b/>
      <color rgb="FF263238"/>
      <sz val="9"/>
      <name val="Segoe UI"/>
    </font>
    <font>
      <b/>
      <color rgb="FF856404"/>
      <sz val="9.5"/>
      <name val="Segoe UI"/>
    </font>
    <font>
      <b/>
      <color rgb="FF212121"/>
      <sz val="9.5"/>
      <name val="Segoe UI"/>
    </font>
    <font>
      <b/>
      <color rgb="FFD32F2F"/>
      <sz val="9.5"/>
      <name val="Segoe UI"/>
    </font>
    <font>
      <b/>
      <color rgb="FF0D47A1"/>
      <sz val="9"/>
      <name val="Segoe UI"/>
    </font>
    <font>
      <color rgb="FF212121"/>
      <sz val="8.5"/>
      <name val="Segoe UI"/>
    </font>
    <font>
      <b/>
      <color rgb="FF212121"/>
      <sz val="8.5"/>
      <name val="Segoe UI"/>
    </font>
    <font>
      <b/>
      <color rgb="FF1B5E20"/>
      <sz val="8.5"/>
      <name val="Segoe UI"/>
    </font>
    <font>
      <color rgb="FF1B5E20"/>
      <sz val="9.5"/>
      <name val="Segoe UI"/>
    </font>
    <font>
      <color rgb="FFFFFFFF"/>
      <sz val="9.5"/>
      <name val="Segoe UI"/>
    </font>
  </fonts>
  <fills count="15">
    <fill>
      <patternFill patternType="none"/>
    </fill>
    <fill>
      <patternFill patternType="gray125"/>
    </fill>
    <fill>
      <patternFill patternType="solid">
        <fgColor rgb="FF0D47A1"/>
      </patternFill>
    </fill>
    <fill>
      <patternFill patternType="solid">
        <fgColor rgb="FF37474F"/>
      </patternFill>
    </fill>
    <fill>
      <patternFill patternType="solid">
        <fgColor rgb="FFFFF3CD"/>
      </patternFill>
    </fill>
    <fill>
      <patternFill patternType="solid">
        <fgColor rgb="FF1A237E"/>
      </patternFill>
    </fill>
    <fill>
      <patternFill patternType="solid">
        <fgColor rgb="FFF9FAFB"/>
      </patternFill>
    </fill>
    <fill>
      <patternFill patternType="solid">
        <fgColor rgb="FF004D40"/>
      </patternFill>
    </fill>
    <fill>
      <patternFill patternType="solid"/>
    </fill>
    <fill>
      <patternFill patternType="solid">
        <fgColor rgb="FF4A148C"/>
      </patternFill>
    </fill>
    <fill>
      <patternFill patternType="solid">
        <fgColor rgb="FFE65100"/>
      </patternFill>
    </fill>
    <fill>
      <patternFill patternType="solid">
        <fgColor rgb="FF263238"/>
      </patternFill>
    </fill>
    <fill>
      <patternFill patternType="solid">
        <fgColor rgb="FFFFFFFF"/>
      </patternFill>
    </fill>
    <fill>
      <patternFill patternType="solid">
        <fgColor rgb="FFD4EDDA"/>
      </patternFill>
    </fill>
    <fill>
      <patternFill patternType="solid">
        <fgColor rgb="FF880E4F"/>
      </patternFill>
    </fill>
  </fills>
  <borders count="14">
    <border>
      <left/>
      <right/>
      <top/>
      <bottom/>
      <diagonal/>
    </border>
    <border>
      <left style="medium">
        <color rgb="FF0D47A1"/>
      </left>
      <right style="medium">
        <color rgb="FF0D47A1"/>
      </right>
      <top style="medium">
        <color rgb="FF0D47A1"/>
      </top>
      <bottom style="medium">
        <color rgb="FF0D47A1"/>
      </bottom>
      <diagonal/>
    </border>
    <border>
      <left style="medium">
        <color rgb="FF37474F"/>
      </left>
      <right style="medium">
        <color rgb="FF37474F"/>
      </right>
      <top style="medium">
        <color rgb="FF37474F"/>
      </top>
      <bottom style="medium">
        <color rgb="FF37474F"/>
      </bottom>
      <diagonal/>
    </border>
    <border>
      <left style="medium">
        <color rgb="FFFFF3CD"/>
      </left>
      <right style="medium">
        <color rgb="FFFFF3CD"/>
      </right>
      <top style="medium">
        <color rgb="FFFFF3CD"/>
      </top>
      <bottom style="medium">
        <color rgb="FFFFF3CD"/>
      </bottom>
      <diagonal/>
    </border>
    <border>
      <left style="medium">
        <color rgb="FF1A237E"/>
      </left>
      <right style="medium">
        <color rgb="FF1A237E"/>
      </right>
      <top style="medium">
        <color rgb="FF1A237E"/>
      </top>
      <bottom style="medium">
        <color rgb="FF1A237E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004D40"/>
      </left>
      <right style="medium">
        <color rgb="FF004D40"/>
      </right>
      <top style="medium">
        <color rgb="FF004D40"/>
      </top>
      <bottom style="medium">
        <color rgb="FF004D40"/>
      </bottom>
      <diagonal/>
    </border>
    <border>
      <left style="medium">
        <color rgb="FFF9FAFB"/>
      </left>
      <right style="medium">
        <color rgb="FFF9FAFB"/>
      </right>
      <top style="medium">
        <color rgb="FFF9FAFB"/>
      </top>
      <bottom style="medium">
        <color rgb="FFF9FAFB"/>
      </bottom>
      <diagonal/>
    </border>
    <border>
      <left style="medium"/>
      <right style="medium"/>
      <top style="medium"/>
      <bottom style="medium"/>
      <diagonal/>
    </border>
    <border>
      <left style="medium">
        <color rgb="FF4A148C"/>
      </left>
      <right style="medium">
        <color rgb="FF4A148C"/>
      </right>
      <top style="medium">
        <color rgb="FF4A148C"/>
      </top>
      <bottom style="medium">
        <color rgb="FF4A148C"/>
      </bottom>
      <diagonal/>
    </border>
    <border>
      <left style="medium">
        <color rgb="FFE65100"/>
      </left>
      <right style="medium">
        <color rgb="FFE65100"/>
      </right>
      <top style="medium">
        <color rgb="FFE65100"/>
      </top>
      <bottom style="medium">
        <color rgb="FFE65100"/>
      </bottom>
      <diagonal/>
    </border>
    <border>
      <left style="medium">
        <color rgb="FFD4EDDA"/>
      </left>
      <right style="medium">
        <color rgb="FFD4EDDA"/>
      </right>
      <top style="medium">
        <color rgb="FFD4EDDA"/>
      </top>
      <bottom style="medium">
        <color rgb="FFD4EDDA"/>
      </bottom>
      <diagonal/>
    </border>
    <border>
      <left style="medium">
        <color rgb="FF880E4F"/>
      </left>
      <right style="medium">
        <color rgb="FF880E4F"/>
      </right>
      <top style="medium">
        <color rgb="FF880E4F"/>
      </top>
      <bottom style="medium">
        <color rgb="FF880E4F"/>
      </bottom>
      <diagonal/>
    </border>
    <border>
      <left style="medium">
        <color rgb="FF263238"/>
      </left>
      <right style="medium">
        <color rgb="FF263238"/>
      </right>
      <top style="medium">
        <color rgb="FF263238"/>
      </top>
      <bottom style="medium">
        <color rgb="FF263238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left" vertical="center" wrapText="1"/>
    </xf>
    <xf numFmtId="0" fontId="8" fillId="6" borderId="5" xfId="0" applyFont="1" applyFill="1" applyBorder="1" applyAlignment="1">
      <alignment horizontal="left" vertical="center" wrapText="1"/>
    </xf>
    <xf numFmtId="0" fontId="9" fillId="6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left" vertical="center" wrapText="1"/>
    </xf>
    <xf numFmtId="0" fontId="11" fillId="6" borderId="5" xfId="0" applyFont="1" applyFill="1" applyBorder="1" applyAlignment="1">
      <alignment horizontal="left" vertical="center" wrapText="1"/>
    </xf>
    <xf numFmtId="0" fontId="12" fillId="7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4" fillId="7" borderId="6" xfId="0" applyFont="1" applyFill="1" applyBorder="1" applyAlignment="1">
      <alignment horizontal="left" vertical="center" wrapText="1"/>
    </xf>
    <xf numFmtId="0" fontId="8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left" vertical="center" wrapText="1"/>
    </xf>
    <xf numFmtId="0" fontId="16" fillId="0" borderId="5" xfId="0" applyFont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15" fillId="6" borderId="5" xfId="0" applyFont="1" applyFill="1" applyBorder="1" applyAlignment="1">
      <alignment horizontal="left" vertical="center" wrapText="1"/>
    </xf>
    <xf numFmtId="0" fontId="16" fillId="6" borderId="5" xfId="0" applyFont="1" applyFill="1" applyBorder="1" applyAlignment="1">
      <alignment horizontal="left" vertical="center" wrapText="1"/>
    </xf>
    <xf numFmtId="0" fontId="14" fillId="3" borderId="2" xfId="0" applyFont="1" applyFill="1" applyBorder="1" applyAlignment="1">
      <alignment horizontal="left" vertical="center" wrapText="1"/>
    </xf>
    <xf numFmtId="0" fontId="17" fillId="6" borderId="7" xfId="0" applyFont="1" applyFill="1" applyBorder="1" applyAlignment="1">
      <alignment horizontal="left" vertical="center" wrapText="1"/>
    </xf>
    <xf numFmtId="0" fontId="15" fillId="8" borderId="8" xfId="0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left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10" borderId="10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18" fillId="11" borderId="5" xfId="0" applyFont="1" applyFill="1" applyBorder="1" applyAlignment="1">
      <alignment horizontal="center" vertical="center" wrapText="1"/>
    </xf>
    <xf numFmtId="0" fontId="19" fillId="12" borderId="5" xfId="0" applyFont="1" applyFill="1" applyBorder="1" applyAlignment="1">
      <alignment horizontal="center" vertical="center"/>
    </xf>
    <xf numFmtId="2" fontId="19" fillId="12" borderId="5" xfId="0" applyNumberFormat="1" applyFont="1" applyFill="1" applyBorder="1" applyAlignment="1">
      <alignment horizontal="center" vertical="center"/>
    </xf>
    <xf numFmtId="10" fontId="20" fillId="13" borderId="5" xfId="0" applyNumberFormat="1" applyFont="1" applyFill="1" applyBorder="1" applyAlignment="1">
      <alignment horizontal="center" vertical="center"/>
    </xf>
    <xf numFmtId="0" fontId="21" fillId="12" borderId="5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center" vertical="center"/>
    </xf>
    <xf numFmtId="2" fontId="19" fillId="6" borderId="5" xfId="0" applyNumberFormat="1" applyFont="1" applyFill="1" applyBorder="1" applyAlignment="1">
      <alignment horizontal="center" vertical="center"/>
    </xf>
    <xf numFmtId="0" fontId="21" fillId="6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2" fontId="18" fillId="2" borderId="5" xfId="0" applyNumberFormat="1" applyFont="1" applyFill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2" fontId="5" fillId="2" borderId="5" xfId="0" applyNumberFormat="1" applyFont="1" applyFill="1" applyBorder="1" applyAlignment="1">
      <alignment horizontal="center" vertical="center"/>
    </xf>
    <xf numFmtId="10" fontId="9" fillId="13" borderId="5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left" vertical="center" wrapText="1"/>
    </xf>
    <xf numFmtId="0" fontId="22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24" fillId="0" borderId="5" xfId="0" applyFont="1" applyBorder="1" applyAlignment="1">
      <alignment horizontal="left" vertical="center" wrapText="1"/>
    </xf>
    <xf numFmtId="0" fontId="20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22" fillId="6" borderId="5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left" vertical="center" wrapText="1"/>
    </xf>
    <xf numFmtId="0" fontId="24" fillId="6" borderId="5" xfId="0" applyFont="1" applyFill="1" applyBorder="1" applyAlignment="1">
      <alignment horizontal="left" vertical="center" wrapText="1"/>
    </xf>
    <xf numFmtId="0" fontId="20" fillId="6" borderId="5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left" vertical="center" wrapText="1"/>
    </xf>
    <xf numFmtId="0" fontId="26" fillId="13" borderId="5" xfId="0" applyFont="1" applyFill="1" applyBorder="1" applyAlignment="1">
      <alignment horizontal="center" vertical="center" wrapText="1"/>
    </xf>
    <xf numFmtId="0" fontId="26" fillId="13" borderId="5" xfId="0" applyFont="1" applyFill="1" applyBorder="1" applyAlignment="1">
      <alignment horizontal="left" vertical="center" wrapText="1"/>
    </xf>
    <xf numFmtId="0" fontId="24" fillId="13" borderId="5" xfId="0" applyFont="1" applyFill="1" applyBorder="1" applyAlignment="1">
      <alignment horizontal="left" vertical="center" wrapText="1"/>
    </xf>
    <xf numFmtId="0" fontId="27" fillId="13" borderId="5" xfId="0" applyFont="1" applyFill="1" applyBorder="1" applyAlignment="1">
      <alignment horizontal="center" vertical="center" wrapText="1"/>
    </xf>
    <xf numFmtId="0" fontId="25" fillId="13" borderId="5" xfId="0" applyFont="1" applyFill="1" applyBorder="1" applyAlignment="1">
      <alignment horizontal="left" vertical="center" wrapText="1"/>
    </xf>
    <xf numFmtId="0" fontId="23" fillId="0" borderId="5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8" fillId="4" borderId="5" xfId="0" applyFont="1" applyFill="1" applyBorder="1" applyAlignment="1">
      <alignment horizontal="center" vertical="center" wrapText="1"/>
    </xf>
    <xf numFmtId="0" fontId="28" fillId="4" borderId="5" xfId="0" applyFont="1" applyFill="1" applyBorder="1" applyAlignment="1">
      <alignment horizontal="left" vertical="center" wrapText="1"/>
    </xf>
    <xf numFmtId="0" fontId="24" fillId="4" borderId="5" xfId="0" applyFont="1" applyFill="1" applyBorder="1" applyAlignment="1">
      <alignment horizontal="left" vertical="center" wrapText="1"/>
    </xf>
    <xf numFmtId="0" fontId="27" fillId="4" borderId="5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left" vertical="center" wrapText="1"/>
    </xf>
    <xf numFmtId="0" fontId="29" fillId="0" borderId="5" xfId="0" applyFont="1" applyBorder="1" applyAlignment="1">
      <alignment horizontal="center" vertical="center" wrapText="1"/>
    </xf>
    <xf numFmtId="0" fontId="29" fillId="0" borderId="5" xfId="0" applyFont="1" applyBorder="1" applyAlignment="1">
      <alignment horizontal="left" vertical="center" wrapText="1"/>
    </xf>
    <xf numFmtId="0" fontId="30" fillId="0" borderId="5" xfId="0" applyFont="1" applyBorder="1" applyAlignment="1">
      <alignment horizontal="center" vertical="center" wrapText="1"/>
    </xf>
    <xf numFmtId="0" fontId="30" fillId="0" borderId="5" xfId="0" applyFont="1" applyBorder="1" applyAlignment="1">
      <alignment horizontal="left" vertical="center" wrapText="1"/>
    </xf>
    <xf numFmtId="0" fontId="24" fillId="6" borderId="7" xfId="0" applyFont="1" applyFill="1" applyBorder="1" applyAlignment="1">
      <alignment horizontal="left" vertical="center" wrapText="1"/>
    </xf>
    <xf numFmtId="0" fontId="31" fillId="0" borderId="5" xfId="0" applyFont="1" applyBorder="1" applyAlignment="1">
      <alignment horizontal="left" vertical="center" wrapText="1"/>
    </xf>
    <xf numFmtId="0" fontId="32" fillId="0" borderId="5" xfId="0" applyFont="1" applyBorder="1" applyAlignment="1">
      <alignment horizontal="left" vertical="center" wrapText="1"/>
    </xf>
    <xf numFmtId="0" fontId="33" fillId="0" borderId="5" xfId="0" applyFont="1" applyBorder="1" applyAlignment="1">
      <alignment horizontal="center" vertical="center" wrapText="1"/>
    </xf>
    <xf numFmtId="0" fontId="31" fillId="6" borderId="5" xfId="0" applyFont="1" applyFill="1" applyBorder="1" applyAlignment="1">
      <alignment horizontal="left" vertical="center" wrapText="1"/>
    </xf>
    <xf numFmtId="0" fontId="32" fillId="6" borderId="5" xfId="0" applyFont="1" applyFill="1" applyBorder="1" applyAlignment="1">
      <alignment horizontal="left" vertical="center" wrapText="1"/>
    </xf>
    <xf numFmtId="0" fontId="34" fillId="13" borderId="5" xfId="0" applyFont="1" applyFill="1" applyBorder="1" applyAlignment="1">
      <alignment horizontal="center" vertical="center" wrapText="1"/>
    </xf>
    <xf numFmtId="0" fontId="33" fillId="6" borderId="5" xfId="0" applyFont="1" applyFill="1" applyBorder="1" applyAlignment="1">
      <alignment horizontal="center" vertical="center" wrapText="1"/>
    </xf>
    <xf numFmtId="0" fontId="35" fillId="13" borderId="11" xfId="0" applyFont="1" applyFill="1" applyBorder="1" applyAlignment="1">
      <alignment horizontal="left" vertical="center" wrapText="1"/>
    </xf>
    <xf numFmtId="0" fontId="12" fillId="14" borderId="12" xfId="0" applyFont="1" applyFill="1" applyBorder="1" applyAlignment="1">
      <alignment horizontal="center" vertical="center" wrapText="1"/>
    </xf>
    <xf numFmtId="0" fontId="36" fillId="11" borderId="13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left" vertical="center" wrapText="1"/>
    </xf>
    <xf numFmtId="0" fontId="6" fillId="8" borderId="8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2307/249008" TargetMode="External"/><Relationship Id="rId2" Type="http://schemas.openxmlformats.org/officeDocument/2006/relationships/hyperlink" Target="https://www.jstor.org/stable/249008" TargetMode="External"/><Relationship Id="rId3" Type="http://schemas.openxmlformats.org/officeDocument/2006/relationships/hyperlink" Target="https://archive.org/details/competenceatwork00spen" TargetMode="External"/><Relationship Id="rId4" Type="http://schemas.openxmlformats.org/officeDocument/2006/relationships/hyperlink" Target="https://doi.org/10.1037/h0034092" TargetMode="External"/><Relationship Id="rId5" Type="http://schemas.openxmlformats.org/officeDocument/2006/relationships/hyperlink" Target="https://doi.org/10.1287/mnsc.46.2.186.11926" TargetMode="External"/><Relationship Id="rId6" Type="http://schemas.openxmlformats.org/officeDocument/2006/relationships/hyperlink" Target="https://opac.perpusnas.go.id/DetailOpac.aspx?id=1138812" TargetMode="External"/><Relationship Id="rId7" Type="http://schemas.openxmlformats.org/officeDocument/2006/relationships/hyperlink" Target="https://opac.perpusnas.go.id/DetailOpac.aspx?id=1152063" TargetMode="External"/><Relationship Id="rId8" Type="http://schemas.openxmlformats.org/officeDocument/2006/relationships/hyperlink" Target="https://books.google.com/books/about/Prosedur_penelitian.html?id=zR08vwEACAAJ" TargetMode="External"/><Relationship Id="rId9" Type="http://schemas.openxmlformats.org/officeDocument/2006/relationships/hyperlink" Target="https://books.google.com/books/about/Metode_penelitian_kuantitatif_kualitatif.html?id=e7w0zQEACAAJ" TargetMode="External"/><Relationship Id="rId10" Type="http://schemas.openxmlformats.org/officeDocument/2006/relationships/hyperlink" Target="https://opac.perpusnas.go.id" TargetMode="External"/><Relationship Id="rId11" Type="http://schemas.openxmlformats.org/officeDocument/2006/relationships/hyperlink" Target="https://doi.org/10.1145/169059.169166" TargetMode="External"/><Relationship Id="rId12" Type="http://schemas.openxmlformats.org/officeDocument/2006/relationships/hyperlink" Target="https://openlibrary.org/books/OL5063071M/Fundamental_research_statistics_for_the_behavioral_sciences" TargetMode="External"/><Relationship Id="rId13" Type="http://schemas.openxmlformats.org/officeDocument/2006/relationships/hyperlink" Target="https://www.researchgate.net/publication/265350313_Multivariate_Data_Analysis" TargetMode="External"/><Relationship Id="rId14" Type="http://schemas.openxmlformats.org/officeDocument/2006/relationships/hyperlink" Target="https://www.researchgate.net/publication/285226466" TargetMode="External"/><Relationship Id="rId15" Type="http://schemas.openxmlformats.org/officeDocument/2006/relationships/hyperlink" Target="https://www.pearson.com/en-us/subject-catalog/p/educational-research-competencies-for-analysis-and-applications/P20000000288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3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6" customWidth="1"/>
    <col min="3" max="3" width="32" customWidth="1"/>
    <col min="4" max="4" width="55" customWidth="1"/>
    <col min="5" max="5" width="22" customWidth="1"/>
  </cols>
  <sheetData>
    <row r="1" ht="10" customHeight="1" x14ac:dyDescent="0.25"/>
    <row r="2" ht="54" customHeight="1" spans="2:5" x14ac:dyDescent="0.25">
      <c r="B2" s="1" t="s">
        <v>0</v>
      </c>
      <c r="C2" s="1"/>
      <c r="D2" s="1"/>
      <c r="E2" s="1"/>
    </row>
    <row r="3" ht="24" customHeight="1" spans="2:5" x14ac:dyDescent="0.25">
      <c r="B3" s="2" t="s">
        <v>1</v>
      </c>
      <c r="C3" s="2"/>
      <c r="D3" s="2"/>
      <c r="E3" s="2"/>
    </row>
    <row r="4" ht="12" customHeight="1" x14ac:dyDescent="0.25"/>
    <row r="5" ht="58" customHeight="1" spans="2:5" x14ac:dyDescent="0.25">
      <c r="B5" s="3" t="s">
        <v>2</v>
      </c>
      <c r="C5" s="3"/>
      <c r="D5" s="3"/>
      <c r="E5" s="3"/>
    </row>
    <row r="6" ht="12" customHeight="1" x14ac:dyDescent="0.25"/>
    <row r="7" ht="26" customHeight="1" spans="2:5" x14ac:dyDescent="0.25">
      <c r="B7" s="4" t="s">
        <v>3</v>
      </c>
      <c r="C7" s="4"/>
      <c r="D7" s="4"/>
      <c r="E7" s="4"/>
    </row>
    <row r="8" ht="24" customHeight="1" spans="2:5" x14ac:dyDescent="0.25">
      <c r="B8" s="5" t="s">
        <v>4</v>
      </c>
      <c r="C8" s="6" t="s">
        <v>5</v>
      </c>
      <c r="D8" s="6" t="s">
        <v>6</v>
      </c>
      <c r="E8" s="5" t="s">
        <v>7</v>
      </c>
    </row>
    <row r="9" ht="36" customHeight="1" spans="2:5" x14ac:dyDescent="0.25">
      <c r="B9" s="7" t="s">
        <v>8</v>
      </c>
      <c r="C9" s="8" t="s">
        <v>9</v>
      </c>
      <c r="D9" s="9" t="s">
        <v>10</v>
      </c>
      <c r="E9" s="10" t="s">
        <v>11</v>
      </c>
    </row>
    <row r="10" ht="36" customHeight="1" spans="2:5" x14ac:dyDescent="0.25">
      <c r="B10" s="11" t="s">
        <v>12</v>
      </c>
      <c r="C10" s="12" t="s">
        <v>13</v>
      </c>
      <c r="D10" s="13" t="s">
        <v>14</v>
      </c>
      <c r="E10" s="14" t="s">
        <v>15</v>
      </c>
    </row>
    <row r="11" ht="36" customHeight="1" spans="2:5" x14ac:dyDescent="0.25">
      <c r="B11" s="7" t="s">
        <v>16</v>
      </c>
      <c r="C11" s="8" t="s">
        <v>17</v>
      </c>
      <c r="D11" s="9" t="s">
        <v>18</v>
      </c>
      <c r="E11" s="10" t="s">
        <v>19</v>
      </c>
    </row>
    <row r="12" ht="36" customHeight="1" spans="2:5" x14ac:dyDescent="0.25">
      <c r="B12" s="11" t="s">
        <v>20</v>
      </c>
      <c r="C12" s="12" t="s">
        <v>21</v>
      </c>
      <c r="D12" s="13" t="s">
        <v>22</v>
      </c>
      <c r="E12" s="14" t="s">
        <v>23</v>
      </c>
    </row>
    <row r="13" ht="36" customHeight="1" spans="2:5" x14ac:dyDescent="0.25">
      <c r="B13" s="7" t="s">
        <v>24</v>
      </c>
      <c r="C13" s="8" t="s">
        <v>25</v>
      </c>
      <c r="D13" s="9" t="s">
        <v>26</v>
      </c>
      <c r="E13" s="10" t="s">
        <v>15</v>
      </c>
    </row>
    <row r="14" ht="36" customHeight="1" spans="2:5" x14ac:dyDescent="0.25">
      <c r="B14" s="11" t="s">
        <v>27</v>
      </c>
      <c r="C14" s="12" t="s">
        <v>28</v>
      </c>
      <c r="D14" s="13" t="s">
        <v>29</v>
      </c>
      <c r="E14" s="14" t="s">
        <v>23</v>
      </c>
    </row>
    <row r="16" ht="26" customHeight="1" spans="2:5" x14ac:dyDescent="0.25">
      <c r="B16" s="4" t="s">
        <v>30</v>
      </c>
      <c r="C16" s="4"/>
      <c r="D16" s="4"/>
      <c r="E16" s="4"/>
    </row>
    <row r="17" ht="28" customHeight="1" spans="2:5" x14ac:dyDescent="0.25">
      <c r="B17" s="15">
        <v>1</v>
      </c>
      <c r="C17" s="16" t="s">
        <v>31</v>
      </c>
      <c r="D17" s="17" t="s">
        <v>32</v>
      </c>
      <c r="E17" s="18" t="s">
        <v>33</v>
      </c>
    </row>
    <row r="18" ht="28" customHeight="1" spans="2:5" x14ac:dyDescent="0.25">
      <c r="B18" s="19">
        <v>2</v>
      </c>
      <c r="C18" s="20" t="s">
        <v>34</v>
      </c>
      <c r="D18" s="21" t="s">
        <v>32</v>
      </c>
      <c r="E18" s="22" t="s">
        <v>35</v>
      </c>
    </row>
    <row r="19" ht="28" customHeight="1" spans="2:5" x14ac:dyDescent="0.25">
      <c r="B19" s="15">
        <v>3</v>
      </c>
      <c r="C19" s="16" t="s">
        <v>36</v>
      </c>
      <c r="D19" s="17" t="s">
        <v>32</v>
      </c>
      <c r="E19" s="18" t="s">
        <v>37</v>
      </c>
    </row>
    <row r="20" ht="28" customHeight="1" spans="2:5" x14ac:dyDescent="0.25">
      <c r="B20" s="19">
        <v>4</v>
      </c>
      <c r="C20" s="20" t="s">
        <v>38</v>
      </c>
      <c r="D20" s="21" t="s">
        <v>32</v>
      </c>
      <c r="E20" s="22" t="s">
        <v>39</v>
      </c>
    </row>
    <row r="21" ht="28" customHeight="1" spans="2:5" x14ac:dyDescent="0.25">
      <c r="B21" s="15">
        <v>5</v>
      </c>
      <c r="C21" s="16" t="s">
        <v>40</v>
      </c>
      <c r="D21" s="17" t="s">
        <v>32</v>
      </c>
      <c r="E21" s="18" t="s">
        <v>41</v>
      </c>
    </row>
    <row r="22" ht="28" customHeight="1" spans="2:5" x14ac:dyDescent="0.25">
      <c r="B22" s="19">
        <v>6</v>
      </c>
      <c r="C22" s="20" t="s">
        <v>42</v>
      </c>
      <c r="D22" s="21" t="s">
        <v>32</v>
      </c>
      <c r="E22" s="22" t="s">
        <v>43</v>
      </c>
    </row>
    <row r="23" ht="28" customHeight="1" spans="2:5" x14ac:dyDescent="0.25">
      <c r="B23" s="15">
        <v>7</v>
      </c>
      <c r="C23" s="16" t="s">
        <v>44</v>
      </c>
      <c r="D23" s="17" t="s">
        <v>32</v>
      </c>
      <c r="E23" s="18" t="s">
        <v>45</v>
      </c>
    </row>
  </sheetData>
  <mergeCells count="5">
    <mergeCell ref="B2:E2"/>
    <mergeCell ref="B3:E3"/>
    <mergeCell ref="B5:E5"/>
    <mergeCell ref="B7:E7"/>
    <mergeCell ref="B16:E1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2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6" customWidth="1"/>
    <col min="3" max="3" width="12" customWidth="1"/>
    <col min="4" max="4" width="22" customWidth="1"/>
    <col min="5" max="5" width="56" customWidth="1"/>
    <col min="6" max="10" width="7" customWidth="1"/>
    <col min="11" max="11" width="11" customWidth="1"/>
  </cols>
  <sheetData>
    <row r="1" ht="10" customHeight="1" x14ac:dyDescent="0.25"/>
    <row r="2" ht="45" customHeight="1" spans="2:11" x14ac:dyDescent="0.25">
      <c r="B2" s="23" t="s">
        <v>46</v>
      </c>
      <c r="C2" s="23"/>
      <c r="D2" s="23"/>
      <c r="E2" s="23"/>
      <c r="F2" s="23"/>
      <c r="G2" s="23"/>
      <c r="H2" s="23"/>
      <c r="I2" s="23"/>
      <c r="J2" s="23"/>
      <c r="K2" s="23"/>
    </row>
    <row r="3" ht="30" customHeight="1" spans="2:11" x14ac:dyDescent="0.25">
      <c r="B3" s="24" t="s">
        <v>47</v>
      </c>
      <c r="C3" s="24"/>
      <c r="D3" s="24"/>
      <c r="E3" s="24"/>
      <c r="F3" s="24"/>
      <c r="G3" s="24"/>
      <c r="H3" s="24"/>
      <c r="I3" s="24"/>
      <c r="J3" s="24"/>
      <c r="K3" s="24"/>
    </row>
    <row r="4" ht="26" customHeight="1" spans="2:11" x14ac:dyDescent="0.25">
      <c r="B4" s="5" t="s">
        <v>4</v>
      </c>
      <c r="C4" s="5" t="s">
        <v>48</v>
      </c>
      <c r="D4" s="6" t="s">
        <v>49</v>
      </c>
      <c r="E4" s="6" t="s">
        <v>50</v>
      </c>
      <c r="F4" s="25" t="s">
        <v>51</v>
      </c>
      <c r="G4" s="25" t="s">
        <v>52</v>
      </c>
      <c r="H4" s="25" t="s">
        <v>53</v>
      </c>
      <c r="I4" s="25" t="s">
        <v>54</v>
      </c>
      <c r="J4" s="25" t="s">
        <v>55</v>
      </c>
      <c r="K4" s="5" t="s">
        <v>56</v>
      </c>
    </row>
    <row r="5" ht="24" customHeight="1" spans="2:11" x14ac:dyDescent="0.25">
      <c r="B5" s="26" t="s">
        <v>57</v>
      </c>
      <c r="C5" s="26"/>
      <c r="D5" s="26"/>
      <c r="E5" s="26"/>
      <c r="F5" s="26"/>
      <c r="G5" s="26"/>
      <c r="H5" s="26"/>
      <c r="I5" s="26"/>
      <c r="J5" s="26"/>
      <c r="K5" s="26"/>
    </row>
    <row r="6" ht="42" customHeight="1" spans="2:11" x14ac:dyDescent="0.25">
      <c r="B6" s="27" t="s">
        <v>8</v>
      </c>
      <c r="C6" s="28" t="s">
        <v>58</v>
      </c>
      <c r="D6" s="29" t="s">
        <v>59</v>
      </c>
      <c r="E6" s="30" t="s">
        <v>60</v>
      </c>
      <c r="F6" s="27" t="s">
        <v>61</v>
      </c>
      <c r="G6" s="27" t="s">
        <v>61</v>
      </c>
      <c r="H6" s="27" t="s">
        <v>61</v>
      </c>
      <c r="I6" s="27" t="s">
        <v>61</v>
      </c>
      <c r="J6" s="27" t="s">
        <v>61</v>
      </c>
      <c r="K6" s="31" t="s">
        <v>61</v>
      </c>
    </row>
    <row r="7" ht="42" customHeight="1" spans="2:11" x14ac:dyDescent="0.25">
      <c r="B7" s="32" t="s">
        <v>12</v>
      </c>
      <c r="C7" s="33" t="s">
        <v>62</v>
      </c>
      <c r="D7" s="34" t="s">
        <v>59</v>
      </c>
      <c r="E7" s="35" t="s">
        <v>63</v>
      </c>
      <c r="F7" s="32" t="s">
        <v>61</v>
      </c>
      <c r="G7" s="32" t="s">
        <v>61</v>
      </c>
      <c r="H7" s="32" t="s">
        <v>61</v>
      </c>
      <c r="I7" s="32" t="s">
        <v>61</v>
      </c>
      <c r="J7" s="32" t="s">
        <v>61</v>
      </c>
      <c r="K7" s="31" t="s">
        <v>61</v>
      </c>
    </row>
    <row r="8" ht="42" customHeight="1" spans="2:11" x14ac:dyDescent="0.25">
      <c r="B8" s="27" t="s">
        <v>16</v>
      </c>
      <c r="C8" s="28" t="s">
        <v>64</v>
      </c>
      <c r="D8" s="29" t="s">
        <v>59</v>
      </c>
      <c r="E8" s="30" t="s">
        <v>65</v>
      </c>
      <c r="F8" s="27" t="s">
        <v>61</v>
      </c>
      <c r="G8" s="27" t="s">
        <v>61</v>
      </c>
      <c r="H8" s="27" t="s">
        <v>61</v>
      </c>
      <c r="I8" s="27" t="s">
        <v>61</v>
      </c>
      <c r="J8" s="27" t="s">
        <v>61</v>
      </c>
      <c r="K8" s="31" t="s">
        <v>61</v>
      </c>
    </row>
    <row r="9" ht="42" customHeight="1" spans="2:11" x14ac:dyDescent="0.25">
      <c r="B9" s="32" t="s">
        <v>20</v>
      </c>
      <c r="C9" s="33" t="s">
        <v>66</v>
      </c>
      <c r="D9" s="34" t="s">
        <v>59</v>
      </c>
      <c r="E9" s="35" t="s">
        <v>67</v>
      </c>
      <c r="F9" s="32" t="s">
        <v>61</v>
      </c>
      <c r="G9" s="32" t="s">
        <v>61</v>
      </c>
      <c r="H9" s="32" t="s">
        <v>61</v>
      </c>
      <c r="I9" s="32" t="s">
        <v>61</v>
      </c>
      <c r="J9" s="32" t="s">
        <v>61</v>
      </c>
      <c r="K9" s="31" t="s">
        <v>61</v>
      </c>
    </row>
    <row r="10" ht="42" customHeight="1" spans="2:11" x14ac:dyDescent="0.25">
      <c r="B10" s="27" t="s">
        <v>24</v>
      </c>
      <c r="C10" s="28" t="s">
        <v>68</v>
      </c>
      <c r="D10" s="29" t="s">
        <v>59</v>
      </c>
      <c r="E10" s="30" t="s">
        <v>69</v>
      </c>
      <c r="F10" s="27" t="s">
        <v>61</v>
      </c>
      <c r="G10" s="27" t="s">
        <v>61</v>
      </c>
      <c r="H10" s="27" t="s">
        <v>61</v>
      </c>
      <c r="I10" s="27" t="s">
        <v>61</v>
      </c>
      <c r="J10" s="27" t="s">
        <v>61</v>
      </c>
      <c r="K10" s="31" t="s">
        <v>61</v>
      </c>
    </row>
    <row r="11" ht="24" customHeight="1" spans="2:11" x14ac:dyDescent="0.25">
      <c r="B11" s="26" t="s">
        <v>70</v>
      </c>
      <c r="C11" s="26"/>
      <c r="D11" s="26"/>
      <c r="E11" s="26"/>
      <c r="F11" s="26"/>
      <c r="G11" s="26"/>
      <c r="H11" s="26"/>
      <c r="I11" s="26"/>
      <c r="J11" s="26"/>
      <c r="K11" s="26"/>
    </row>
    <row r="12" ht="42" customHeight="1" spans="2:11" x14ac:dyDescent="0.25">
      <c r="B12" s="32" t="s">
        <v>27</v>
      </c>
      <c r="C12" s="33" t="s">
        <v>71</v>
      </c>
      <c r="D12" s="34" t="s">
        <v>72</v>
      </c>
      <c r="E12" s="35" t="s">
        <v>73</v>
      </c>
      <c r="F12" s="32" t="s">
        <v>61</v>
      </c>
      <c r="G12" s="32" t="s">
        <v>61</v>
      </c>
      <c r="H12" s="32" t="s">
        <v>61</v>
      </c>
      <c r="I12" s="32" t="s">
        <v>61</v>
      </c>
      <c r="J12" s="32" t="s">
        <v>61</v>
      </c>
      <c r="K12" s="31" t="s">
        <v>61</v>
      </c>
    </row>
    <row r="13" ht="42" customHeight="1" spans="2:11" x14ac:dyDescent="0.25">
      <c r="B13" s="27" t="s">
        <v>74</v>
      </c>
      <c r="C13" s="28" t="s">
        <v>75</v>
      </c>
      <c r="D13" s="29" t="s">
        <v>72</v>
      </c>
      <c r="E13" s="30" t="s">
        <v>76</v>
      </c>
      <c r="F13" s="27" t="s">
        <v>61</v>
      </c>
      <c r="G13" s="27" t="s">
        <v>61</v>
      </c>
      <c r="H13" s="27" t="s">
        <v>61</v>
      </c>
      <c r="I13" s="27" t="s">
        <v>61</v>
      </c>
      <c r="J13" s="27" t="s">
        <v>61</v>
      </c>
      <c r="K13" s="31" t="s">
        <v>61</v>
      </c>
    </row>
    <row r="14" ht="42" customHeight="1" spans="2:11" x14ac:dyDescent="0.25">
      <c r="B14" s="32" t="s">
        <v>77</v>
      </c>
      <c r="C14" s="33" t="s">
        <v>78</v>
      </c>
      <c r="D14" s="34" t="s">
        <v>72</v>
      </c>
      <c r="E14" s="35" t="s">
        <v>79</v>
      </c>
      <c r="F14" s="32" t="s">
        <v>61</v>
      </c>
      <c r="G14" s="32" t="s">
        <v>61</v>
      </c>
      <c r="H14" s="32" t="s">
        <v>61</v>
      </c>
      <c r="I14" s="32" t="s">
        <v>61</v>
      </c>
      <c r="J14" s="32" t="s">
        <v>61</v>
      </c>
      <c r="K14" s="31" t="s">
        <v>61</v>
      </c>
    </row>
    <row r="15" ht="42" customHeight="1" spans="2:11" x14ac:dyDescent="0.25">
      <c r="B15" s="27" t="s">
        <v>80</v>
      </c>
      <c r="C15" s="28" t="s">
        <v>81</v>
      </c>
      <c r="D15" s="29" t="s">
        <v>72</v>
      </c>
      <c r="E15" s="30" t="s">
        <v>82</v>
      </c>
      <c r="F15" s="27" t="s">
        <v>61</v>
      </c>
      <c r="G15" s="27" t="s">
        <v>61</v>
      </c>
      <c r="H15" s="27" t="s">
        <v>61</v>
      </c>
      <c r="I15" s="27" t="s">
        <v>61</v>
      </c>
      <c r="J15" s="27" t="s">
        <v>61</v>
      </c>
      <c r="K15" s="31" t="s">
        <v>61</v>
      </c>
    </row>
    <row r="16" ht="42" customHeight="1" spans="2:11" x14ac:dyDescent="0.25">
      <c r="B16" s="32" t="s">
        <v>83</v>
      </c>
      <c r="C16" s="33" t="s">
        <v>84</v>
      </c>
      <c r="D16" s="34" t="s">
        <v>72</v>
      </c>
      <c r="E16" s="35" t="s">
        <v>85</v>
      </c>
      <c r="F16" s="32" t="s">
        <v>61</v>
      </c>
      <c r="G16" s="32" t="s">
        <v>61</v>
      </c>
      <c r="H16" s="32" t="s">
        <v>61</v>
      </c>
      <c r="I16" s="32" t="s">
        <v>61</v>
      </c>
      <c r="J16" s="32" t="s">
        <v>61</v>
      </c>
      <c r="K16" s="31" t="s">
        <v>61</v>
      </c>
    </row>
    <row r="17" ht="24" customHeight="1" spans="2:11" x14ac:dyDescent="0.25">
      <c r="B17" s="26" t="s">
        <v>86</v>
      </c>
      <c r="C17" s="26"/>
      <c r="D17" s="26"/>
      <c r="E17" s="26"/>
      <c r="F17" s="26"/>
      <c r="G17" s="26"/>
      <c r="H17" s="26"/>
      <c r="I17" s="26"/>
      <c r="J17" s="26"/>
      <c r="K17" s="26"/>
    </row>
    <row r="18" ht="42" customHeight="1" spans="2:11" x14ac:dyDescent="0.25">
      <c r="B18" s="27" t="s">
        <v>87</v>
      </c>
      <c r="C18" s="28" t="s">
        <v>88</v>
      </c>
      <c r="D18" s="29" t="s">
        <v>89</v>
      </c>
      <c r="E18" s="30" t="s">
        <v>90</v>
      </c>
      <c r="F18" s="27" t="s">
        <v>61</v>
      </c>
      <c r="G18" s="27" t="s">
        <v>61</v>
      </c>
      <c r="H18" s="27" t="s">
        <v>61</v>
      </c>
      <c r="I18" s="27" t="s">
        <v>61</v>
      </c>
      <c r="J18" s="27" t="s">
        <v>61</v>
      </c>
      <c r="K18" s="31" t="s">
        <v>61</v>
      </c>
    </row>
    <row r="19" ht="42" customHeight="1" spans="2:11" x14ac:dyDescent="0.25">
      <c r="B19" s="32" t="s">
        <v>91</v>
      </c>
      <c r="C19" s="33" t="s">
        <v>92</v>
      </c>
      <c r="D19" s="34" t="s">
        <v>89</v>
      </c>
      <c r="E19" s="35" t="s">
        <v>93</v>
      </c>
      <c r="F19" s="32" t="s">
        <v>61</v>
      </c>
      <c r="G19" s="32" t="s">
        <v>61</v>
      </c>
      <c r="H19" s="32" t="s">
        <v>61</v>
      </c>
      <c r="I19" s="32" t="s">
        <v>61</v>
      </c>
      <c r="J19" s="32" t="s">
        <v>61</v>
      </c>
      <c r="K19" s="31" t="s">
        <v>61</v>
      </c>
    </row>
    <row r="20" ht="42" customHeight="1" spans="2:11" x14ac:dyDescent="0.25">
      <c r="B20" s="27" t="s">
        <v>94</v>
      </c>
      <c r="C20" s="28" t="s">
        <v>95</v>
      </c>
      <c r="D20" s="29" t="s">
        <v>89</v>
      </c>
      <c r="E20" s="30" t="s">
        <v>96</v>
      </c>
      <c r="F20" s="27" t="s">
        <v>61</v>
      </c>
      <c r="G20" s="27" t="s">
        <v>61</v>
      </c>
      <c r="H20" s="27" t="s">
        <v>61</v>
      </c>
      <c r="I20" s="27" t="s">
        <v>61</v>
      </c>
      <c r="J20" s="27" t="s">
        <v>61</v>
      </c>
      <c r="K20" s="31" t="s">
        <v>61</v>
      </c>
    </row>
    <row r="21" ht="42" customHeight="1" spans="2:11" x14ac:dyDescent="0.25">
      <c r="B21" s="32" t="s">
        <v>97</v>
      </c>
      <c r="C21" s="33" t="s">
        <v>98</v>
      </c>
      <c r="D21" s="34" t="s">
        <v>89</v>
      </c>
      <c r="E21" s="35" t="s">
        <v>99</v>
      </c>
      <c r="F21" s="32" t="s">
        <v>61</v>
      </c>
      <c r="G21" s="32" t="s">
        <v>61</v>
      </c>
      <c r="H21" s="32" t="s">
        <v>61</v>
      </c>
      <c r="I21" s="32" t="s">
        <v>61</v>
      </c>
      <c r="J21" s="32" t="s">
        <v>61</v>
      </c>
      <c r="K21" s="31" t="s">
        <v>61</v>
      </c>
    </row>
    <row r="22" ht="42" customHeight="1" spans="2:11" x14ac:dyDescent="0.25">
      <c r="B22" s="27" t="s">
        <v>100</v>
      </c>
      <c r="C22" s="28" t="s">
        <v>101</v>
      </c>
      <c r="D22" s="29" t="s">
        <v>89</v>
      </c>
      <c r="E22" s="30" t="s">
        <v>102</v>
      </c>
      <c r="F22" s="27" t="s">
        <v>61</v>
      </c>
      <c r="G22" s="27" t="s">
        <v>61</v>
      </c>
      <c r="H22" s="27" t="s">
        <v>61</v>
      </c>
      <c r="I22" s="27" t="s">
        <v>61</v>
      </c>
      <c r="J22" s="27" t="s">
        <v>61</v>
      </c>
      <c r="K22" s="31" t="s">
        <v>61</v>
      </c>
    </row>
    <row r="23" ht="24" customHeight="1" spans="2:11" x14ac:dyDescent="0.25">
      <c r="B23" s="26" t="s">
        <v>103</v>
      </c>
      <c r="C23" s="26"/>
      <c r="D23" s="26"/>
      <c r="E23" s="26"/>
      <c r="F23" s="26"/>
      <c r="G23" s="26"/>
      <c r="H23" s="26"/>
      <c r="I23" s="26"/>
      <c r="J23" s="26"/>
      <c r="K23" s="26"/>
    </row>
    <row r="24" ht="42" customHeight="1" spans="2:11" x14ac:dyDescent="0.25">
      <c r="B24" s="32" t="s">
        <v>104</v>
      </c>
      <c r="C24" s="33" t="s">
        <v>105</v>
      </c>
      <c r="D24" s="34" t="s">
        <v>106</v>
      </c>
      <c r="E24" s="35" t="s">
        <v>107</v>
      </c>
      <c r="F24" s="32" t="s">
        <v>61</v>
      </c>
      <c r="G24" s="32" t="s">
        <v>61</v>
      </c>
      <c r="H24" s="32" t="s">
        <v>61</v>
      </c>
      <c r="I24" s="32" t="s">
        <v>61</v>
      </c>
      <c r="J24" s="32" t="s">
        <v>61</v>
      </c>
      <c r="K24" s="31" t="s">
        <v>61</v>
      </c>
    </row>
    <row r="25" ht="42" customHeight="1" spans="2:11" x14ac:dyDescent="0.25">
      <c r="B25" s="27" t="s">
        <v>108</v>
      </c>
      <c r="C25" s="28" t="s">
        <v>109</v>
      </c>
      <c r="D25" s="29" t="s">
        <v>106</v>
      </c>
      <c r="E25" s="30" t="s">
        <v>110</v>
      </c>
      <c r="F25" s="27" t="s">
        <v>61</v>
      </c>
      <c r="G25" s="27" t="s">
        <v>61</v>
      </c>
      <c r="H25" s="27" t="s">
        <v>61</v>
      </c>
      <c r="I25" s="27" t="s">
        <v>61</v>
      </c>
      <c r="J25" s="27" t="s">
        <v>61</v>
      </c>
      <c r="K25" s="31" t="s">
        <v>61</v>
      </c>
    </row>
    <row r="26" ht="42" customHeight="1" spans="2:11" x14ac:dyDescent="0.25">
      <c r="B26" s="32" t="s">
        <v>111</v>
      </c>
      <c r="C26" s="33" t="s">
        <v>112</v>
      </c>
      <c r="D26" s="34" t="s">
        <v>106</v>
      </c>
      <c r="E26" s="35" t="s">
        <v>113</v>
      </c>
      <c r="F26" s="32" t="s">
        <v>61</v>
      </c>
      <c r="G26" s="32" t="s">
        <v>61</v>
      </c>
      <c r="H26" s="32" t="s">
        <v>61</v>
      </c>
      <c r="I26" s="32" t="s">
        <v>61</v>
      </c>
      <c r="J26" s="32" t="s">
        <v>61</v>
      </c>
      <c r="K26" s="31" t="s">
        <v>61</v>
      </c>
    </row>
    <row r="27" ht="42" customHeight="1" spans="2:11" x14ac:dyDescent="0.25">
      <c r="B27" s="27" t="s">
        <v>114</v>
      </c>
      <c r="C27" s="28" t="s">
        <v>115</v>
      </c>
      <c r="D27" s="29" t="s">
        <v>106</v>
      </c>
      <c r="E27" s="30" t="s">
        <v>116</v>
      </c>
      <c r="F27" s="27" t="s">
        <v>61</v>
      </c>
      <c r="G27" s="27" t="s">
        <v>61</v>
      </c>
      <c r="H27" s="27" t="s">
        <v>61</v>
      </c>
      <c r="I27" s="27" t="s">
        <v>61</v>
      </c>
      <c r="J27" s="27" t="s">
        <v>61</v>
      </c>
      <c r="K27" s="31" t="s">
        <v>61</v>
      </c>
    </row>
    <row r="28" ht="42" customHeight="1" spans="2:11" x14ac:dyDescent="0.25">
      <c r="B28" s="32" t="s">
        <v>117</v>
      </c>
      <c r="C28" s="33" t="s">
        <v>118</v>
      </c>
      <c r="D28" s="34" t="s">
        <v>106</v>
      </c>
      <c r="E28" s="35" t="s">
        <v>119</v>
      </c>
      <c r="F28" s="32" t="s">
        <v>61</v>
      </c>
      <c r="G28" s="32" t="s">
        <v>61</v>
      </c>
      <c r="H28" s="32" t="s">
        <v>61</v>
      </c>
      <c r="I28" s="32" t="s">
        <v>61</v>
      </c>
      <c r="J28" s="32" t="s">
        <v>61</v>
      </c>
      <c r="K28" s="31" t="s">
        <v>61</v>
      </c>
    </row>
    <row r="29" ht="24" customHeight="1" spans="2:11" x14ac:dyDescent="0.25">
      <c r="B29" s="26" t="s">
        <v>120</v>
      </c>
      <c r="C29" s="26"/>
      <c r="D29" s="26"/>
      <c r="E29" s="26"/>
      <c r="F29" s="26"/>
      <c r="G29" s="26"/>
      <c r="H29" s="26"/>
      <c r="I29" s="26"/>
      <c r="J29" s="26"/>
      <c r="K29" s="26"/>
    </row>
    <row r="30" ht="42" customHeight="1" spans="2:11" x14ac:dyDescent="0.25">
      <c r="B30" s="27" t="s">
        <v>121</v>
      </c>
      <c r="C30" s="28" t="s">
        <v>122</v>
      </c>
      <c r="D30" s="29" t="s">
        <v>123</v>
      </c>
      <c r="E30" s="30" t="s">
        <v>124</v>
      </c>
      <c r="F30" s="27" t="s">
        <v>61</v>
      </c>
      <c r="G30" s="27" t="s">
        <v>61</v>
      </c>
      <c r="H30" s="27" t="s">
        <v>61</v>
      </c>
      <c r="I30" s="27" t="s">
        <v>61</v>
      </c>
      <c r="J30" s="27" t="s">
        <v>61</v>
      </c>
      <c r="K30" s="31" t="s">
        <v>61</v>
      </c>
    </row>
    <row r="31" ht="42" customHeight="1" spans="2:11" x14ac:dyDescent="0.25">
      <c r="B31" s="32" t="s">
        <v>125</v>
      </c>
      <c r="C31" s="33" t="s">
        <v>126</v>
      </c>
      <c r="D31" s="34" t="s">
        <v>123</v>
      </c>
      <c r="E31" s="35" t="s">
        <v>127</v>
      </c>
      <c r="F31" s="32" t="s">
        <v>61</v>
      </c>
      <c r="G31" s="32" t="s">
        <v>61</v>
      </c>
      <c r="H31" s="32" t="s">
        <v>61</v>
      </c>
      <c r="I31" s="32" t="s">
        <v>61</v>
      </c>
      <c r="J31" s="32" t="s">
        <v>61</v>
      </c>
      <c r="K31" s="31" t="s">
        <v>61</v>
      </c>
    </row>
    <row r="32" ht="42" customHeight="1" spans="2:11" x14ac:dyDescent="0.25">
      <c r="B32" s="27" t="s">
        <v>128</v>
      </c>
      <c r="C32" s="28" t="s">
        <v>129</v>
      </c>
      <c r="D32" s="29" t="s">
        <v>123</v>
      </c>
      <c r="E32" s="30" t="s">
        <v>130</v>
      </c>
      <c r="F32" s="27" t="s">
        <v>61</v>
      </c>
      <c r="G32" s="27" t="s">
        <v>61</v>
      </c>
      <c r="H32" s="27" t="s">
        <v>61</v>
      </c>
      <c r="I32" s="27" t="s">
        <v>61</v>
      </c>
      <c r="J32" s="27" t="s">
        <v>61</v>
      </c>
      <c r="K32" s="31" t="s">
        <v>61</v>
      </c>
    </row>
    <row r="33" ht="42" customHeight="1" spans="2:11" x14ac:dyDescent="0.25">
      <c r="B33" s="32" t="s">
        <v>131</v>
      </c>
      <c r="C33" s="33" t="s">
        <v>132</v>
      </c>
      <c r="D33" s="34" t="s">
        <v>123</v>
      </c>
      <c r="E33" s="35" t="s">
        <v>133</v>
      </c>
      <c r="F33" s="32" t="s">
        <v>61</v>
      </c>
      <c r="G33" s="32" t="s">
        <v>61</v>
      </c>
      <c r="H33" s="32" t="s">
        <v>61</v>
      </c>
      <c r="I33" s="32" t="s">
        <v>61</v>
      </c>
      <c r="J33" s="32" t="s">
        <v>61</v>
      </c>
      <c r="K33" s="31" t="s">
        <v>61</v>
      </c>
    </row>
    <row r="34" ht="42" customHeight="1" spans="2:11" x14ac:dyDescent="0.25">
      <c r="B34" s="27" t="s">
        <v>134</v>
      </c>
      <c r="C34" s="28" t="s">
        <v>135</v>
      </c>
      <c r="D34" s="29" t="s">
        <v>123</v>
      </c>
      <c r="E34" s="30" t="s">
        <v>136</v>
      </c>
      <c r="F34" s="27" t="s">
        <v>61</v>
      </c>
      <c r="G34" s="27" t="s">
        <v>61</v>
      </c>
      <c r="H34" s="27" t="s">
        <v>61</v>
      </c>
      <c r="I34" s="27" t="s">
        <v>61</v>
      </c>
      <c r="J34" s="27" t="s">
        <v>61</v>
      </c>
      <c r="K34" s="31" t="s">
        <v>61</v>
      </c>
    </row>
    <row r="36" ht="26" customHeight="1" spans="2:11" x14ac:dyDescent="0.25">
      <c r="B36" s="36" t="s">
        <v>137</v>
      </c>
      <c r="C36" s="36"/>
      <c r="D36" s="36"/>
      <c r="E36" s="36"/>
      <c r="F36" s="36"/>
      <c r="G36" s="36"/>
      <c r="H36" s="36"/>
      <c r="I36" s="36"/>
      <c r="J36" s="36"/>
      <c r="K36" s="36"/>
    </row>
    <row r="37" ht="24" customHeight="1" spans="2:11" x14ac:dyDescent="0.25">
      <c r="B37" s="37" t="s">
        <v>138</v>
      </c>
      <c r="C37" s="37"/>
      <c r="D37" s="37"/>
      <c r="E37" s="37"/>
      <c r="F37" s="37"/>
      <c r="G37" s="37"/>
      <c r="H37" s="37"/>
      <c r="I37" s="37"/>
      <c r="J37" s="37"/>
      <c r="K37" s="37"/>
    </row>
    <row r="38" ht="50" customHeight="1" spans="2:11" x14ac:dyDescent="0.25">
      <c r="B38" s="38" t="s">
        <v>139</v>
      </c>
      <c r="C38" s="38"/>
      <c r="D38" s="38"/>
      <c r="E38" s="38"/>
      <c r="F38" s="38"/>
      <c r="G38" s="38"/>
      <c r="H38" s="38"/>
      <c r="I38" s="38"/>
      <c r="J38" s="38"/>
      <c r="K38" s="38"/>
    </row>
    <row r="39" ht="24" customHeight="1" spans="2:11" x14ac:dyDescent="0.25">
      <c r="B39" s="37" t="s">
        <v>140</v>
      </c>
      <c r="C39" s="37"/>
      <c r="D39" s="37"/>
      <c r="E39" s="37"/>
      <c r="F39" s="37"/>
      <c r="G39" s="37"/>
      <c r="H39" s="37"/>
      <c r="I39" s="37"/>
      <c r="J39" s="37"/>
      <c r="K39" s="37"/>
    </row>
    <row r="40" ht="50" customHeight="1" spans="2:11" x14ac:dyDescent="0.25">
      <c r="B40" s="38" t="s">
        <v>139</v>
      </c>
      <c r="C40" s="38"/>
      <c r="D40" s="38"/>
      <c r="E40" s="38"/>
      <c r="F40" s="38"/>
      <c r="G40" s="38"/>
      <c r="H40" s="38"/>
      <c r="I40" s="38"/>
      <c r="J40" s="38"/>
      <c r="K40" s="38"/>
    </row>
    <row r="41" ht="24" customHeight="1" spans="2:11" x14ac:dyDescent="0.25">
      <c r="B41" s="37" t="s">
        <v>141</v>
      </c>
      <c r="C41" s="37"/>
      <c r="D41" s="37"/>
      <c r="E41" s="37"/>
      <c r="F41" s="37"/>
      <c r="G41" s="37"/>
      <c r="H41" s="37"/>
      <c r="I41" s="37"/>
      <c r="J41" s="37"/>
      <c r="K41" s="37"/>
    </row>
    <row r="42" ht="50" customHeight="1" spans="2:11" x14ac:dyDescent="0.25">
      <c r="B42" s="38" t="s">
        <v>139</v>
      </c>
      <c r="C42" s="38"/>
      <c r="D42" s="38"/>
      <c r="E42" s="38"/>
      <c r="F42" s="38"/>
      <c r="G42" s="38"/>
      <c r="H42" s="38"/>
      <c r="I42" s="38"/>
      <c r="J42" s="38"/>
      <c r="K42" s="38"/>
    </row>
  </sheetData>
  <mergeCells count="14">
    <mergeCell ref="B2:K2"/>
    <mergeCell ref="B3:K3"/>
    <mergeCell ref="B5:K5"/>
    <mergeCell ref="B11:K11"/>
    <mergeCell ref="B17:K17"/>
    <mergeCell ref="B23:K23"/>
    <mergeCell ref="B29:K29"/>
    <mergeCell ref="B36:K36"/>
    <mergeCell ref="B37:K37"/>
    <mergeCell ref="B38:K38"/>
    <mergeCell ref="B39:K39"/>
    <mergeCell ref="B40:K40"/>
    <mergeCell ref="B41:K41"/>
    <mergeCell ref="B42:K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E35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14" customWidth="1"/>
    <col min="3" max="27" width="6.5" customWidth="1"/>
    <col min="28" max="29" width="11" customWidth="1"/>
    <col min="30" max="30" width="13" customWidth="1"/>
    <col min="31" max="31" width="18" customWidth="1"/>
  </cols>
  <sheetData>
    <row r="1" ht="10" customHeight="1" x14ac:dyDescent="0.25"/>
    <row r="2" ht="42" customHeight="1" spans="2:31" x14ac:dyDescent="0.25">
      <c r="B2" s="39" t="s">
        <v>142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</row>
    <row r="3" ht="22" customHeight="1" spans="2:31" x14ac:dyDescent="0.25">
      <c r="B3" s="40" t="s">
        <v>61</v>
      </c>
      <c r="C3" s="41" t="s">
        <v>143</v>
      </c>
      <c r="D3" s="41"/>
      <c r="E3" s="41"/>
      <c r="F3" s="41"/>
      <c r="G3" s="41"/>
      <c r="H3" s="42" t="s">
        <v>144</v>
      </c>
      <c r="I3" s="42"/>
      <c r="J3" s="42"/>
      <c r="K3" s="42"/>
      <c r="L3" s="42"/>
      <c r="M3" s="43" t="s">
        <v>145</v>
      </c>
      <c r="N3" s="43"/>
      <c r="O3" s="43"/>
      <c r="P3" s="43"/>
      <c r="Q3" s="43"/>
      <c r="R3" s="44" t="s">
        <v>146</v>
      </c>
      <c r="S3" s="44"/>
      <c r="T3" s="44"/>
      <c r="U3" s="44"/>
      <c r="V3" s="44"/>
      <c r="W3" s="41" t="s">
        <v>147</v>
      </c>
      <c r="X3" s="41"/>
      <c r="Y3" s="41"/>
      <c r="Z3" s="41"/>
      <c r="AA3" s="41"/>
      <c r="AB3" s="45" t="s">
        <v>148</v>
      </c>
      <c r="AC3" s="45"/>
      <c r="AD3" s="45"/>
      <c r="AE3" s="45"/>
    </row>
    <row r="4" ht="24" customHeight="1" spans="2:31" x14ac:dyDescent="0.25">
      <c r="B4" s="46" t="s">
        <v>149</v>
      </c>
      <c r="C4" s="47" t="s">
        <v>150</v>
      </c>
      <c r="D4" s="47" t="s">
        <v>151</v>
      </c>
      <c r="E4" s="47" t="s">
        <v>152</v>
      </c>
      <c r="F4" s="47" t="s">
        <v>153</v>
      </c>
      <c r="G4" s="47" t="s">
        <v>154</v>
      </c>
      <c r="H4" s="47" t="s">
        <v>155</v>
      </c>
      <c r="I4" s="47" t="s">
        <v>156</v>
      </c>
      <c r="J4" s="47" t="s">
        <v>157</v>
      </c>
      <c r="K4" s="47" t="s">
        <v>158</v>
      </c>
      <c r="L4" s="47" t="s">
        <v>159</v>
      </c>
      <c r="M4" s="47" t="s">
        <v>160</v>
      </c>
      <c r="N4" s="47" t="s">
        <v>161</v>
      </c>
      <c r="O4" s="47" t="s">
        <v>162</v>
      </c>
      <c r="P4" s="47" t="s">
        <v>163</v>
      </c>
      <c r="Q4" s="47" t="s">
        <v>164</v>
      </c>
      <c r="R4" s="47" t="s">
        <v>165</v>
      </c>
      <c r="S4" s="47" t="s">
        <v>166</v>
      </c>
      <c r="T4" s="47" t="s">
        <v>167</v>
      </c>
      <c r="U4" s="47" t="s">
        <v>168</v>
      </c>
      <c r="V4" s="47" t="s">
        <v>169</v>
      </c>
      <c r="W4" s="47" t="s">
        <v>170</v>
      </c>
      <c r="X4" s="47" t="s">
        <v>171</v>
      </c>
      <c r="Y4" s="47" t="s">
        <v>172</v>
      </c>
      <c r="Z4" s="47" t="s">
        <v>173</v>
      </c>
      <c r="AA4" s="47" t="s">
        <v>174</v>
      </c>
      <c r="AB4" s="46" t="s">
        <v>175</v>
      </c>
      <c r="AC4" s="46" t="s">
        <v>176</v>
      </c>
      <c r="AD4" s="46" t="s">
        <v>177</v>
      </c>
      <c r="AE4" s="46" t="s">
        <v>178</v>
      </c>
    </row>
    <row r="5" ht="20" customHeight="1" spans="2:31" x14ac:dyDescent="0.25">
      <c r="B5" s="7" t="s">
        <v>179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48">
        <f>SUM(C5:AA5)</f>
      </c>
      <c r="AC5" s="49">
        <f>AVERAGE(C5:AA5)</f>
      </c>
      <c r="AD5" s="50">
        <f>(AB5/(25*5))</f>
      </c>
      <c r="AE5" s="51">
        <f>IF(AD5&gt;=0.81,"SANGAT LAYAK",IF(AD5&gt;=0.61,"LAYAK",IF(AD5&gt;=0.41,"CUKUP LAYAK","KURANG LAYAK")))</f>
      </c>
    </row>
    <row r="6" ht="20" customHeight="1" spans="2:31" x14ac:dyDescent="0.25">
      <c r="B6" s="11" t="s">
        <v>180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52">
        <f>SUM(C6:AA6)</f>
      </c>
      <c r="AC6" s="53">
        <f>AVERAGE(C6:AA6)</f>
      </c>
      <c r="AD6" s="50">
        <f>(AB6/(25*5))</f>
      </c>
      <c r="AE6" s="54">
        <f>IF(AD6&gt;=0.81,"SANGAT LAYAK",IF(AD6&gt;=0.61,"LAYAK",IF(AD6&gt;=0.41,"CUKUP LAYAK","KURANG LAYAK")))</f>
      </c>
    </row>
    <row r="7" ht="20" customHeight="1" spans="2:31" x14ac:dyDescent="0.25">
      <c r="B7" s="7" t="s">
        <v>181</v>
      </c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48">
        <f>SUM(C7:AA7)</f>
      </c>
      <c r="AC7" s="49">
        <f>AVERAGE(C7:AA7)</f>
      </c>
      <c r="AD7" s="50">
        <f>(AB7/(25*5))</f>
      </c>
      <c r="AE7" s="51">
        <f>IF(AD7&gt;=0.81,"SANGAT LAYAK",IF(AD7&gt;=0.61,"LAYAK",IF(AD7&gt;=0.41,"CUKUP LAYAK","KURANG LAYAK")))</f>
      </c>
    </row>
    <row r="8" ht="20" customHeight="1" spans="2:31" x14ac:dyDescent="0.25">
      <c r="B8" s="11" t="s">
        <v>182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52">
        <f>SUM(C8:AA8)</f>
      </c>
      <c r="AC8" s="53">
        <f>AVERAGE(C8:AA8)</f>
      </c>
      <c r="AD8" s="50">
        <f>(AB8/(25*5))</f>
      </c>
      <c r="AE8" s="54">
        <f>IF(AD8&gt;=0.81,"SANGAT LAYAK",IF(AD8&gt;=0.61,"LAYAK",IF(AD8&gt;=0.41,"CUKUP LAYAK","KURANG LAYAK")))</f>
      </c>
    </row>
    <row r="9" ht="20" customHeight="1" spans="2:31" x14ac:dyDescent="0.25">
      <c r="B9" s="7" t="s">
        <v>183</v>
      </c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48">
        <f>SUM(C9:AA9)</f>
      </c>
      <c r="AC9" s="49">
        <f>AVERAGE(C9:AA9)</f>
      </c>
      <c r="AD9" s="50">
        <f>(AB9/(25*5))</f>
      </c>
      <c r="AE9" s="51">
        <f>IF(AD9&gt;=0.81,"SANGAT LAYAK",IF(AD9&gt;=0.61,"LAYAK",IF(AD9&gt;=0.41,"CUKUP LAYAK","KURANG LAYAK")))</f>
      </c>
    </row>
    <row r="10" ht="20" customHeight="1" spans="2:31" x14ac:dyDescent="0.25">
      <c r="B10" s="11" t="s">
        <v>184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52">
        <f>SUM(C10:AA10)</f>
      </c>
      <c r="AC10" s="53">
        <f>AVERAGE(C10:AA10)</f>
      </c>
      <c r="AD10" s="50">
        <f>(AB10/(25*5))</f>
      </c>
      <c r="AE10" s="54">
        <f>IF(AD10&gt;=0.81,"SANGAT LAYAK",IF(AD10&gt;=0.61,"LAYAK",IF(AD10&gt;=0.41,"CUKUP LAYAK","KURANG LAYAK")))</f>
      </c>
    </row>
    <row r="11" ht="20" customHeight="1" spans="2:31" x14ac:dyDescent="0.25">
      <c r="B11" s="7" t="s">
        <v>185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48">
        <f>SUM(C11:AA11)</f>
      </c>
      <c r="AC11" s="49">
        <f>AVERAGE(C11:AA11)</f>
      </c>
      <c r="AD11" s="50">
        <f>(AB11/(25*5))</f>
      </c>
      <c r="AE11" s="51">
        <f>IF(AD11&gt;=0.81,"SANGAT LAYAK",IF(AD11&gt;=0.61,"LAYAK",IF(AD11&gt;=0.41,"CUKUP LAYAK","KURANG LAYAK")))</f>
      </c>
    </row>
    <row r="12" ht="20" customHeight="1" spans="2:31" x14ac:dyDescent="0.25">
      <c r="B12" s="11" t="s">
        <v>186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52">
        <f>SUM(C12:AA12)</f>
      </c>
      <c r="AC12" s="53">
        <f>AVERAGE(C12:AA12)</f>
      </c>
      <c r="AD12" s="50">
        <f>(AB12/(25*5))</f>
      </c>
      <c r="AE12" s="54">
        <f>IF(AD12&gt;=0.81,"SANGAT LAYAK",IF(AD12&gt;=0.61,"LAYAK",IF(AD12&gt;=0.41,"CUKUP LAYAK","KURANG LAYAK")))</f>
      </c>
    </row>
    <row r="13" ht="20" customHeight="1" spans="2:31" x14ac:dyDescent="0.25">
      <c r="B13" s="7" t="s">
        <v>187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48">
        <f>SUM(C13:AA13)</f>
      </c>
      <c r="AC13" s="49">
        <f>AVERAGE(C13:AA13)</f>
      </c>
      <c r="AD13" s="50">
        <f>(AB13/(25*5))</f>
      </c>
      <c r="AE13" s="51">
        <f>IF(AD13&gt;=0.81,"SANGAT LAYAK",IF(AD13&gt;=0.61,"LAYAK",IF(AD13&gt;=0.41,"CUKUP LAYAK","KURANG LAYAK")))</f>
      </c>
    </row>
    <row r="14" ht="20" customHeight="1" spans="2:31" x14ac:dyDescent="0.25">
      <c r="B14" s="11" t="s">
        <v>188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52">
        <f>SUM(C14:AA14)</f>
      </c>
      <c r="AC14" s="53">
        <f>AVERAGE(C14:AA14)</f>
      </c>
      <c r="AD14" s="50">
        <f>(AB14/(25*5))</f>
      </c>
      <c r="AE14" s="54">
        <f>IF(AD14&gt;=0.81,"SANGAT LAYAK",IF(AD14&gt;=0.61,"LAYAK",IF(AD14&gt;=0.41,"CUKUP LAYAK","KURANG LAYAK")))</f>
      </c>
    </row>
    <row r="15" ht="20" customHeight="1" spans="2:31" x14ac:dyDescent="0.25">
      <c r="B15" s="7" t="s">
        <v>189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48">
        <f>SUM(C15:AA15)</f>
      </c>
      <c r="AC15" s="49">
        <f>AVERAGE(C15:AA15)</f>
      </c>
      <c r="AD15" s="50">
        <f>(AB15/(25*5))</f>
      </c>
      <c r="AE15" s="51">
        <f>IF(AD15&gt;=0.81,"SANGAT LAYAK",IF(AD15&gt;=0.61,"LAYAK",IF(AD15&gt;=0.41,"CUKUP LAYAK","KURANG LAYAK")))</f>
      </c>
    </row>
    <row r="16" ht="20" customHeight="1" spans="2:31" x14ac:dyDescent="0.25">
      <c r="B16" s="11" t="s">
        <v>190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52">
        <f>SUM(C16:AA16)</f>
      </c>
      <c r="AC16" s="53">
        <f>AVERAGE(C16:AA16)</f>
      </c>
      <c r="AD16" s="50">
        <f>(AB16/(25*5))</f>
      </c>
      <c r="AE16" s="54">
        <f>IF(AD16&gt;=0.81,"SANGAT LAYAK",IF(AD16&gt;=0.61,"LAYAK",IF(AD16&gt;=0.41,"CUKUP LAYAK","KURANG LAYAK")))</f>
      </c>
    </row>
    <row r="17" ht="20" customHeight="1" spans="2:31" x14ac:dyDescent="0.25">
      <c r="B17" s="7" t="s">
        <v>191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48">
        <f>SUM(C17:AA17)</f>
      </c>
      <c r="AC17" s="49">
        <f>AVERAGE(C17:AA17)</f>
      </c>
      <c r="AD17" s="50">
        <f>(AB17/(25*5))</f>
      </c>
      <c r="AE17" s="51">
        <f>IF(AD17&gt;=0.81,"SANGAT LAYAK",IF(AD17&gt;=0.61,"LAYAK",IF(AD17&gt;=0.41,"CUKUP LAYAK","KURANG LAYAK")))</f>
      </c>
    </row>
    <row r="18" ht="20" customHeight="1" spans="2:31" x14ac:dyDescent="0.25">
      <c r="B18" s="11" t="s">
        <v>192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52">
        <f>SUM(C18:AA18)</f>
      </c>
      <c r="AC18" s="53">
        <f>AVERAGE(C18:AA18)</f>
      </c>
      <c r="AD18" s="50">
        <f>(AB18/(25*5))</f>
      </c>
      <c r="AE18" s="54">
        <f>IF(AD18&gt;=0.81,"SANGAT LAYAK",IF(AD18&gt;=0.61,"LAYAK",IF(AD18&gt;=0.41,"CUKUP LAYAK","KURANG LAYAK")))</f>
      </c>
    </row>
    <row r="19" ht="20" customHeight="1" spans="2:31" x14ac:dyDescent="0.25">
      <c r="B19" s="7" t="s">
        <v>193</v>
      </c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48">
        <f>SUM(C19:AA19)</f>
      </c>
      <c r="AC19" s="49">
        <f>AVERAGE(C19:AA19)</f>
      </c>
      <c r="AD19" s="50">
        <f>(AB19/(25*5))</f>
      </c>
      <c r="AE19" s="51">
        <f>IF(AD19&gt;=0.81,"SANGAT LAYAK",IF(AD19&gt;=0.61,"LAYAK",IF(AD19&gt;=0.41,"CUKUP LAYAK","KURANG LAYAK")))</f>
      </c>
    </row>
    <row r="20" ht="20" customHeight="1" spans="2:31" x14ac:dyDescent="0.25">
      <c r="B20" s="11" t="s">
        <v>194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52">
        <f>SUM(C20:AA20)</f>
      </c>
      <c r="AC20" s="53">
        <f>AVERAGE(C20:AA20)</f>
      </c>
      <c r="AD20" s="50">
        <f>(AB20/(25*5))</f>
      </c>
      <c r="AE20" s="54">
        <f>IF(AD20&gt;=0.81,"SANGAT LAYAK",IF(AD20&gt;=0.61,"LAYAK",IF(AD20&gt;=0.41,"CUKUP LAYAK","KURANG LAYAK")))</f>
      </c>
    </row>
    <row r="21" ht="20" customHeight="1" spans="2:31" x14ac:dyDescent="0.25">
      <c r="B21" s="7" t="s">
        <v>195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48">
        <f>SUM(C21:AA21)</f>
      </c>
      <c r="AC21" s="49">
        <f>AVERAGE(C21:AA21)</f>
      </c>
      <c r="AD21" s="50">
        <f>(AB21/(25*5))</f>
      </c>
      <c r="AE21" s="51">
        <f>IF(AD21&gt;=0.81,"SANGAT LAYAK",IF(AD21&gt;=0.61,"LAYAK",IF(AD21&gt;=0.41,"CUKUP LAYAK","KURANG LAYAK")))</f>
      </c>
    </row>
    <row r="22" ht="20" customHeight="1" spans="2:31" x14ac:dyDescent="0.25">
      <c r="B22" s="11" t="s">
        <v>196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52">
        <f>SUM(C22:AA22)</f>
      </c>
      <c r="AC22" s="53">
        <f>AVERAGE(C22:AA22)</f>
      </c>
      <c r="AD22" s="50">
        <f>(AB22/(25*5))</f>
      </c>
      <c r="AE22" s="54">
        <f>IF(AD22&gt;=0.81,"SANGAT LAYAK",IF(AD22&gt;=0.61,"LAYAK",IF(AD22&gt;=0.41,"CUKUP LAYAK","KURANG LAYAK")))</f>
      </c>
    </row>
    <row r="23" ht="20" customHeight="1" spans="2:31" x14ac:dyDescent="0.25">
      <c r="B23" s="7" t="s">
        <v>197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48">
        <f>SUM(C23:AA23)</f>
      </c>
      <c r="AC23" s="49">
        <f>AVERAGE(C23:AA23)</f>
      </c>
      <c r="AD23" s="50">
        <f>(AB23/(25*5))</f>
      </c>
      <c r="AE23" s="51">
        <f>IF(AD23&gt;=0.81,"SANGAT LAYAK",IF(AD23&gt;=0.61,"LAYAK",IF(AD23&gt;=0.41,"CUKUP LAYAK","KURANG LAYAK")))</f>
      </c>
    </row>
    <row r="24" ht="20" customHeight="1" spans="2:31" x14ac:dyDescent="0.25">
      <c r="B24" s="11" t="s">
        <v>198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52">
        <f>SUM(C24:AA24)</f>
      </c>
      <c r="AC24" s="53">
        <f>AVERAGE(C24:AA24)</f>
      </c>
      <c r="AD24" s="50">
        <f>(AB24/(25*5))</f>
      </c>
      <c r="AE24" s="54">
        <f>IF(AD24&gt;=0.81,"SANGAT LAYAK",IF(AD24&gt;=0.61,"LAYAK",IF(AD24&gt;=0.41,"CUKUP LAYAK","KURANG LAYAK")))</f>
      </c>
    </row>
    <row r="25" ht="20" customHeight="1" spans="2:31" x14ac:dyDescent="0.25">
      <c r="B25" s="7" t="s">
        <v>199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48">
        <f>SUM(C25:AA25)</f>
      </c>
      <c r="AC25" s="49">
        <f>AVERAGE(C25:AA25)</f>
      </c>
      <c r="AD25" s="50">
        <f>(AB25/(25*5))</f>
      </c>
      <c r="AE25" s="51">
        <f>IF(AD25&gt;=0.81,"SANGAT LAYAK",IF(AD25&gt;=0.61,"LAYAK",IF(AD25&gt;=0.41,"CUKUP LAYAK","KURANG LAYAK")))</f>
      </c>
    </row>
    <row r="26" ht="20" customHeight="1" spans="2:31" x14ac:dyDescent="0.25">
      <c r="B26" s="11" t="s">
        <v>200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52">
        <f>SUM(C26:AA26)</f>
      </c>
      <c r="AC26" s="53">
        <f>AVERAGE(C26:AA26)</f>
      </c>
      <c r="AD26" s="50">
        <f>(AB26/(25*5))</f>
      </c>
      <c r="AE26" s="54">
        <f>IF(AD26&gt;=0.81,"SANGAT LAYAK",IF(AD26&gt;=0.61,"LAYAK",IF(AD26&gt;=0.41,"CUKUP LAYAK","KURANG LAYAK")))</f>
      </c>
    </row>
    <row r="27" ht="20" customHeight="1" spans="2:31" x14ac:dyDescent="0.25">
      <c r="B27" s="7" t="s">
        <v>201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48">
        <f>SUM(C27:AA27)</f>
      </c>
      <c r="AC27" s="49">
        <f>AVERAGE(C27:AA27)</f>
      </c>
      <c r="AD27" s="50">
        <f>(AB27/(25*5))</f>
      </c>
      <c r="AE27" s="51">
        <f>IF(AD27&gt;=0.81,"SANGAT LAYAK",IF(AD27&gt;=0.61,"LAYAK",IF(AD27&gt;=0.41,"CUKUP LAYAK","KURANG LAYAK")))</f>
      </c>
    </row>
    <row r="28" ht="20" customHeight="1" spans="2:31" x14ac:dyDescent="0.25">
      <c r="B28" s="11" t="s">
        <v>202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52">
        <f>SUM(C28:AA28)</f>
      </c>
      <c r="AC28" s="53">
        <f>AVERAGE(C28:AA28)</f>
      </c>
      <c r="AD28" s="50">
        <f>(AB28/(25*5))</f>
      </c>
      <c r="AE28" s="54">
        <f>IF(AD28&gt;=0.81,"SANGAT LAYAK",IF(AD28&gt;=0.61,"LAYAK",IF(AD28&gt;=0.41,"CUKUP LAYAK","KURANG LAYAK")))</f>
      </c>
    </row>
    <row r="29" ht="20" customHeight="1" spans="2:31" x14ac:dyDescent="0.25">
      <c r="B29" s="7" t="s">
        <v>203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48">
        <f>SUM(C29:AA29)</f>
      </c>
      <c r="AC29" s="49">
        <f>AVERAGE(C29:AA29)</f>
      </c>
      <c r="AD29" s="50">
        <f>(AB29/(25*5))</f>
      </c>
      <c r="AE29" s="51">
        <f>IF(AD29&gt;=0.81,"SANGAT LAYAK",IF(AD29&gt;=0.61,"LAYAK",IF(AD29&gt;=0.41,"CUKUP LAYAK","KURANG LAYAK")))</f>
      </c>
    </row>
    <row r="30" ht="20" customHeight="1" spans="2:31" x14ac:dyDescent="0.25">
      <c r="B30" s="11" t="s">
        <v>204</v>
      </c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52">
        <f>SUM(C30:AA30)</f>
      </c>
      <c r="AC30" s="53">
        <f>AVERAGE(C30:AA30)</f>
      </c>
      <c r="AD30" s="50">
        <f>(AB30/(25*5))</f>
      </c>
      <c r="AE30" s="54">
        <f>IF(AD30&gt;=0.81,"SANGAT LAYAK",IF(AD30&gt;=0.61,"LAYAK",IF(AD30&gt;=0.41,"CUKUP LAYAK","KURANG LAYAK")))</f>
      </c>
    </row>
    <row r="31" ht="20" customHeight="1" spans="2:31" x14ac:dyDescent="0.25">
      <c r="B31" s="7" t="s">
        <v>205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48">
        <f>SUM(C31:AA31)</f>
      </c>
      <c r="AC31" s="49">
        <f>AVERAGE(C31:AA31)</f>
      </c>
      <c r="AD31" s="50">
        <f>(AB31/(25*5))</f>
      </c>
      <c r="AE31" s="51">
        <f>IF(AD31&gt;=0.81,"SANGAT LAYAK",IF(AD31&gt;=0.61,"LAYAK",IF(AD31&gt;=0.41,"CUKUP LAYAK","KURANG LAYAK")))</f>
      </c>
    </row>
    <row r="32" ht="20" customHeight="1" spans="2:31" x14ac:dyDescent="0.25">
      <c r="B32" s="11" t="s">
        <v>206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52">
        <f>SUM(C32:AA32)</f>
      </c>
      <c r="AC32" s="53">
        <f>AVERAGE(C32:AA32)</f>
      </c>
      <c r="AD32" s="50">
        <f>(AB32/(25*5))</f>
      </c>
      <c r="AE32" s="54">
        <f>IF(AD32&gt;=0.81,"SANGAT LAYAK",IF(AD32&gt;=0.61,"LAYAK",IF(AD32&gt;=0.41,"CUKUP LAYAK","KURANG LAYAK")))</f>
      </c>
    </row>
    <row r="33" ht="20" customHeight="1" spans="2:31" x14ac:dyDescent="0.25">
      <c r="B33" s="7" t="s">
        <v>207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48">
        <f>SUM(C33:AA33)</f>
      </c>
      <c r="AC33" s="49">
        <f>AVERAGE(C33:AA33)</f>
      </c>
      <c r="AD33" s="50">
        <f>(AB33/(25*5))</f>
      </c>
      <c r="AE33" s="51">
        <f>IF(AD33&gt;=0.81,"SANGAT LAYAK",IF(AD33&gt;=0.61,"LAYAK",IF(AD33&gt;=0.41,"CUKUP LAYAK","KURANG LAYAK")))</f>
      </c>
    </row>
    <row r="34" ht="20" customHeight="1" spans="2:31" x14ac:dyDescent="0.25">
      <c r="B34" s="11" t="s">
        <v>208</v>
      </c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52">
        <f>SUM(C34:AA34)</f>
      </c>
      <c r="AC34" s="53">
        <f>AVERAGE(C34:AA34)</f>
      </c>
      <c r="AD34" s="50">
        <f>(AB34/(25*5))</f>
      </c>
      <c r="AE34" s="54">
        <f>IF(AD34&gt;=0.81,"SANGAT LAYAK",IF(AD34&gt;=0.61,"LAYAK",IF(AD34&gt;=0.41,"CUKUP LAYAK","KURANG LAYAK")))</f>
      </c>
    </row>
    <row r="35" ht="26" customHeight="1" spans="2:31" x14ac:dyDescent="0.25">
      <c r="B35" s="55" t="s">
        <v>209</v>
      </c>
      <c r="C35" s="56">
        <f>AVERAGE(C5:C34)</f>
      </c>
      <c r="D35" s="56">
        <f>AVERAGE(D5:D34)</f>
      </c>
      <c r="E35" s="56">
        <f>AVERAGE(E5:E34)</f>
      </c>
      <c r="F35" s="56">
        <f>AVERAGE(F5:F34)</f>
      </c>
      <c r="G35" s="56">
        <f>AVERAGE(G5:G34)</f>
      </c>
      <c r="H35" s="56">
        <f>AVERAGE(H5:H34)</f>
      </c>
      <c r="I35" s="56">
        <f>AVERAGE(I5:I34)</f>
      </c>
      <c r="J35" s="56">
        <f>AVERAGE(J5:J34)</f>
      </c>
      <c r="K35" s="56">
        <f>AVERAGE(K5:K34)</f>
      </c>
      <c r="L35" s="56">
        <f>AVERAGE(L5:L34)</f>
      </c>
      <c r="M35" s="56">
        <f>AVERAGE(M5:M34)</f>
      </c>
      <c r="N35" s="56">
        <f>AVERAGE(N5:N34)</f>
      </c>
      <c r="O35" s="56">
        <f>AVERAGE(O5:O34)</f>
      </c>
      <c r="P35" s="56">
        <f>AVERAGE(P5:P34)</f>
      </c>
      <c r="Q35" s="56">
        <f>AVERAGE(Q5:Q34)</f>
      </c>
      <c r="R35" s="56">
        <f>AVERAGE(R5:R34)</f>
      </c>
      <c r="S35" s="56">
        <f>AVERAGE(S5:S34)</f>
      </c>
      <c r="T35" s="56">
        <f>AVERAGE(T5:T34)</f>
      </c>
      <c r="U35" s="56">
        <f>AVERAGE(U5:U34)</f>
      </c>
      <c r="V35" s="56">
        <f>AVERAGE(V5:V34)</f>
      </c>
      <c r="W35" s="56">
        <f>AVERAGE(W5:W34)</f>
      </c>
      <c r="X35" s="56">
        <f>AVERAGE(X5:X34)</f>
      </c>
      <c r="Y35" s="56">
        <f>AVERAGE(Y5:Y34)</f>
      </c>
      <c r="Z35" s="56">
        <f>AVERAGE(Z5:Z34)</f>
      </c>
      <c r="AA35" s="56">
        <f>AVERAGE(AA5:AA34)</f>
      </c>
      <c r="AB35" s="57">
        <f>AVERAGE(AB5:AB34)</f>
      </c>
      <c r="AC35" s="58">
        <f>AVERAGE(AC5:AC34)</f>
      </c>
      <c r="AD35" s="59">
        <f>AVERAGE(AD5:AD34)</f>
      </c>
      <c r="AE35" s="60">
        <f>IF(AD35&gt;=0.81,"SANGAT DITERIMA (SANGAT BAIK)",IF(AD35&gt;=0.61,"DITERIMA (BAIK)","CUKUP / PERLU REVISI"))</f>
      </c>
    </row>
  </sheetData>
  <mergeCells count="7">
    <mergeCell ref="B2:AE2"/>
    <mergeCell ref="C3:G3"/>
    <mergeCell ref="H3:L3"/>
    <mergeCell ref="M3:Q3"/>
    <mergeCell ref="R3:V3"/>
    <mergeCell ref="W3:AA3"/>
    <mergeCell ref="AB3:A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31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2" customWidth="1"/>
    <col min="3" max="3" width="28" customWidth="1"/>
    <col min="4" max="4" width="44" customWidth="1"/>
    <col min="5" max="5" width="16" customWidth="1"/>
    <col min="6" max="6" width="46" customWidth="1"/>
  </cols>
  <sheetData>
    <row r="1" ht="10" customHeight="1" x14ac:dyDescent="0.25"/>
    <row r="2" ht="42" customHeight="1" spans="2:6" x14ac:dyDescent="0.25">
      <c r="B2" s="61" t="s">
        <v>210</v>
      </c>
      <c r="C2" s="61"/>
      <c r="D2" s="61"/>
      <c r="E2" s="61"/>
      <c r="F2" s="61"/>
    </row>
    <row r="4" spans="2:6" x14ac:dyDescent="0.25">
      <c r="B4" s="62" t="s">
        <v>211</v>
      </c>
      <c r="C4" s="62"/>
      <c r="D4" s="62"/>
      <c r="E4" s="62"/>
      <c r="F4" s="62"/>
    </row>
    <row r="5" ht="24" customHeight="1" spans="2:6" x14ac:dyDescent="0.25">
      <c r="B5" s="5" t="s">
        <v>212</v>
      </c>
      <c r="C5" s="6" t="s">
        <v>213</v>
      </c>
      <c r="D5" s="6" t="s">
        <v>214</v>
      </c>
      <c r="E5" s="5" t="s">
        <v>215</v>
      </c>
      <c r="F5" s="5" t="s">
        <v>216</v>
      </c>
    </row>
    <row r="6" ht="36" customHeight="1" spans="2:6" x14ac:dyDescent="0.25">
      <c r="B6" s="63" t="s">
        <v>217</v>
      </c>
      <c r="C6" s="64" t="s">
        <v>218</v>
      </c>
      <c r="D6" s="65" t="s">
        <v>219</v>
      </c>
      <c r="E6" s="66" t="s">
        <v>220</v>
      </c>
      <c r="F6" s="67" t="s">
        <v>221</v>
      </c>
    </row>
    <row r="7" ht="36" customHeight="1" spans="2:6" x14ac:dyDescent="0.25">
      <c r="B7" s="68" t="s">
        <v>217</v>
      </c>
      <c r="C7" s="69" t="s">
        <v>222</v>
      </c>
      <c r="D7" s="70" t="s">
        <v>223</v>
      </c>
      <c r="E7" s="71" t="s">
        <v>224</v>
      </c>
      <c r="F7" s="72" t="s">
        <v>225</v>
      </c>
    </row>
    <row r="8" ht="36" customHeight="1" spans="2:6" x14ac:dyDescent="0.25">
      <c r="B8" s="63" t="s">
        <v>226</v>
      </c>
      <c r="C8" s="64" t="s">
        <v>227</v>
      </c>
      <c r="D8" s="65" t="s">
        <v>228</v>
      </c>
      <c r="E8" s="66" t="s">
        <v>229</v>
      </c>
      <c r="F8" s="67" t="s">
        <v>230</v>
      </c>
    </row>
    <row r="9" ht="36" customHeight="1" spans="2:6" x14ac:dyDescent="0.25">
      <c r="B9" s="68" t="s">
        <v>231</v>
      </c>
      <c r="C9" s="69" t="s">
        <v>232</v>
      </c>
      <c r="D9" s="70" t="s">
        <v>233</v>
      </c>
      <c r="E9" s="71" t="s">
        <v>234</v>
      </c>
      <c r="F9" s="72" t="s">
        <v>235</v>
      </c>
    </row>
    <row r="10" ht="36" customHeight="1" spans="2:6" x14ac:dyDescent="0.25">
      <c r="B10" s="63" t="s">
        <v>236</v>
      </c>
      <c r="C10" s="64" t="s">
        <v>237</v>
      </c>
      <c r="D10" s="65" t="s">
        <v>238</v>
      </c>
      <c r="E10" s="66" t="s">
        <v>239</v>
      </c>
      <c r="F10" s="67" t="s">
        <v>240</v>
      </c>
    </row>
    <row r="12" spans="2:6" x14ac:dyDescent="0.25">
      <c r="B12" s="26" t="s">
        <v>241</v>
      </c>
      <c r="C12" s="26"/>
      <c r="D12" s="26"/>
      <c r="E12" s="26"/>
      <c r="F12" s="26"/>
    </row>
    <row r="13" ht="24" customHeight="1" spans="2:6" x14ac:dyDescent="0.25">
      <c r="B13" s="5" t="s">
        <v>242</v>
      </c>
      <c r="C13" s="6" t="s">
        <v>243</v>
      </c>
      <c r="D13" s="6" t="s">
        <v>244</v>
      </c>
      <c r="E13" s="5" t="s">
        <v>245</v>
      </c>
      <c r="F13" s="5" t="s">
        <v>246</v>
      </c>
    </row>
    <row r="14" ht="32" customHeight="1" spans="2:6" x14ac:dyDescent="0.25">
      <c r="B14" s="73" t="s">
        <v>247</v>
      </c>
      <c r="C14" s="74" t="s">
        <v>248</v>
      </c>
      <c r="D14" s="75" t="s">
        <v>249</v>
      </c>
      <c r="E14" s="76" t="s">
        <v>250</v>
      </c>
      <c r="F14" s="77" t="s">
        <v>251</v>
      </c>
    </row>
    <row r="15" ht="32" customHeight="1" spans="2:6" x14ac:dyDescent="0.25">
      <c r="B15" s="78" t="s">
        <v>252</v>
      </c>
      <c r="C15" s="64" t="s">
        <v>253</v>
      </c>
      <c r="D15" s="65" t="s">
        <v>254</v>
      </c>
      <c r="E15" s="79" t="s">
        <v>255</v>
      </c>
      <c r="F15" s="67" t="s">
        <v>256</v>
      </c>
    </row>
    <row r="16" ht="32" customHeight="1" spans="2:6" x14ac:dyDescent="0.25">
      <c r="B16" s="80" t="s">
        <v>257</v>
      </c>
      <c r="C16" s="81" t="s">
        <v>258</v>
      </c>
      <c r="D16" s="82" t="s">
        <v>259</v>
      </c>
      <c r="E16" s="83" t="s">
        <v>260</v>
      </c>
      <c r="F16" s="84" t="s">
        <v>261</v>
      </c>
    </row>
    <row r="17" ht="32" customHeight="1" spans="2:6" x14ac:dyDescent="0.25">
      <c r="B17" s="85" t="s">
        <v>262</v>
      </c>
      <c r="C17" s="86" t="s">
        <v>263</v>
      </c>
      <c r="D17" s="65" t="s">
        <v>264</v>
      </c>
      <c r="E17" s="79" t="s">
        <v>265</v>
      </c>
      <c r="F17" s="67" t="s">
        <v>266</v>
      </c>
    </row>
    <row r="18" ht="32" customHeight="1" spans="2:6" x14ac:dyDescent="0.25">
      <c r="B18" s="87" t="s">
        <v>267</v>
      </c>
      <c r="C18" s="88" t="s">
        <v>268</v>
      </c>
      <c r="D18" s="65" t="s">
        <v>269</v>
      </c>
      <c r="E18" s="79" t="s">
        <v>270</v>
      </c>
      <c r="F18" s="67" t="s">
        <v>271</v>
      </c>
    </row>
    <row r="20" spans="2:6" x14ac:dyDescent="0.25">
      <c r="B20" s="62" t="s">
        <v>272</v>
      </c>
      <c r="C20" s="62"/>
      <c r="D20" s="62"/>
      <c r="E20" s="62"/>
      <c r="F20" s="62"/>
    </row>
    <row r="21" ht="65" customHeight="1" spans="2:6" x14ac:dyDescent="0.25">
      <c r="B21" s="89" t="s">
        <v>273</v>
      </c>
      <c r="C21" s="89"/>
      <c r="D21" s="89"/>
      <c r="E21" s="89"/>
      <c r="F21" s="89"/>
    </row>
    <row r="22" spans="2:6" x14ac:dyDescent="0.25">
      <c r="B22" s="26" t="s">
        <v>274</v>
      </c>
      <c r="C22" s="26"/>
      <c r="D22" s="26"/>
      <c r="E22" s="26"/>
      <c r="F22" s="26"/>
    </row>
    <row r="23" ht="24" customHeight="1" spans="2:6" x14ac:dyDescent="0.25">
      <c r="B23" s="5" t="s">
        <v>275</v>
      </c>
      <c r="C23" s="6" t="s">
        <v>276</v>
      </c>
      <c r="D23" s="6" t="s">
        <v>277</v>
      </c>
      <c r="E23" s="5" t="s">
        <v>278</v>
      </c>
      <c r="F23" s="5" t="s">
        <v>279</v>
      </c>
    </row>
    <row r="24" ht="44" customHeight="1" spans="2:6" x14ac:dyDescent="0.25">
      <c r="B24" s="63" t="s">
        <v>280</v>
      </c>
      <c r="C24" s="90" t="s">
        <v>281</v>
      </c>
      <c r="D24" s="91" t="s">
        <v>282</v>
      </c>
      <c r="E24" s="92" t="s">
        <v>283</v>
      </c>
      <c r="F24" s="67" t="s">
        <v>284</v>
      </c>
    </row>
    <row r="25" ht="44" customHeight="1" spans="2:6" x14ac:dyDescent="0.25">
      <c r="B25" s="68" t="s">
        <v>285</v>
      </c>
      <c r="C25" s="93" t="s">
        <v>286</v>
      </c>
      <c r="D25" s="94" t="s">
        <v>287</v>
      </c>
      <c r="E25" s="95" t="s">
        <v>288</v>
      </c>
      <c r="F25" s="72" t="s">
        <v>289</v>
      </c>
    </row>
    <row r="26" ht="44" customHeight="1" spans="2:6" x14ac:dyDescent="0.25">
      <c r="B26" s="63" t="s">
        <v>290</v>
      </c>
      <c r="C26" s="90" t="s">
        <v>291</v>
      </c>
      <c r="D26" s="91" t="s">
        <v>292</v>
      </c>
      <c r="E26" s="92" t="s">
        <v>293</v>
      </c>
      <c r="F26" s="67" t="s">
        <v>294</v>
      </c>
    </row>
    <row r="27" ht="44" customHeight="1" spans="2:6" x14ac:dyDescent="0.25">
      <c r="B27" s="68" t="s">
        <v>295</v>
      </c>
      <c r="C27" s="93" t="s">
        <v>296</v>
      </c>
      <c r="D27" s="94" t="s">
        <v>297</v>
      </c>
      <c r="E27" s="96" t="s">
        <v>298</v>
      </c>
      <c r="F27" s="72" t="s">
        <v>299</v>
      </c>
    </row>
    <row r="28" ht="44" customHeight="1" spans="2:6" x14ac:dyDescent="0.25">
      <c r="B28" s="63" t="s">
        <v>300</v>
      </c>
      <c r="C28" s="90" t="s">
        <v>301</v>
      </c>
      <c r="D28" s="91" t="s">
        <v>302</v>
      </c>
      <c r="E28" s="92" t="s">
        <v>303</v>
      </c>
      <c r="F28" s="67" t="s">
        <v>304</v>
      </c>
    </row>
    <row r="30" spans="2:6" x14ac:dyDescent="0.25">
      <c r="B30" s="62" t="s">
        <v>305</v>
      </c>
      <c r="C30" s="62"/>
      <c r="D30" s="62"/>
      <c r="E30" s="62"/>
      <c r="F30" s="62"/>
    </row>
    <row r="31" ht="80" customHeight="1" spans="2:6" x14ac:dyDescent="0.25">
      <c r="B31" s="97" t="s">
        <v>306</v>
      </c>
      <c r="C31" s="97"/>
      <c r="D31" s="97"/>
      <c r="E31" s="97"/>
      <c r="F31" s="97"/>
    </row>
  </sheetData>
  <mergeCells count="8">
    <mergeCell ref="B2:F2"/>
    <mergeCell ref="B4:F4"/>
    <mergeCell ref="B12:F12"/>
    <mergeCell ref="B20:F20"/>
    <mergeCell ref="B21:F21"/>
    <mergeCell ref="B22:F22"/>
    <mergeCell ref="B30:F30"/>
    <mergeCell ref="B31:F31"/>
  </mergeCells>
  <hyperlinks>
    <hyperlink ref="F6" r:id="rId1" tooltip="Buka tautan rujukan resmi: https://doi.org/10.2307/249008"/>
    <hyperlink ref="F7" r:id="rId2" tooltip="Buka tautan rujukan resmi: https://www.jstor.org/stable/249008"/>
    <hyperlink ref="F8" r:id="rId3" tooltip="Buka tautan rujukan resmi: https://archive.org/details/competenceatwork00spen"/>
    <hyperlink ref="F9" r:id="rId4" tooltip="Buka tautan rujukan resmi: https://doi.org/10.1037/h0034092"/>
    <hyperlink ref="F10" r:id="rId5" tooltip="Buka tautan rujukan resmi: https://doi.org/10.1287/mnsc.46.2.186.11926"/>
    <hyperlink ref="F14" r:id="rId6" tooltip="Buka tautan rujukan resmi: https://opac.perpusnas.go.id/DetailOpac.aspx?id=1138812"/>
    <hyperlink ref="F15" r:id="rId7" tooltip="Buka tautan rujukan resmi: https://opac.perpusnas.go.id/DetailOpac.aspx?id=1152063"/>
    <hyperlink ref="F16" r:id="rId8" tooltip="Buka tautan rujukan resmi: https://books.google.com/books/about/Prosedur_penelitian.html?id=zR08vwEACAAJ"/>
    <hyperlink ref="F17" r:id="rId9" tooltip="Buka tautan rujukan resmi: https://books.google.com/books/about/Metode_penelitian_kuantitatif_kualitatif.html?id=e7w0zQEACAAJ"/>
    <hyperlink ref="F18" r:id="rId10" tooltip="Buka tautan rujukan resmi: https://opac.perpusnas.go.id"/>
    <hyperlink ref="F24" r:id="rId11" tooltip="Buka tautan rujukan resmi: https://doi.org/10.1145/169059.169166"/>
    <hyperlink ref="F25" r:id="rId12" tooltip="Buka tautan rujukan resmi: https://openlibrary.org/books/OL5063071M/Fundamental_research_statistics_for_the_behavioral_sciences"/>
    <hyperlink ref="F26" r:id="rId13" tooltip="Buka tautan rujukan resmi: https://www.researchgate.net/publication/265350313_Multivariate_Data_Analysis"/>
    <hyperlink ref="F27" r:id="rId14" tooltip="Buka tautan rujukan resmi: https://www.researchgate.net/publication/285226466"/>
    <hyperlink ref="F28" r:id="rId15" tooltip="Buka tautan rujukan resmi: https://www.pearson.com/en-us/subject-catalog/p/educational-research-competencies-for-analysis-and-applications/P200000002888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4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6" customWidth="1"/>
    <col min="3" max="3" width="36" customWidth="1"/>
    <col min="4" max="4" width="44" customWidth="1"/>
    <col min="5" max="5" width="18" customWidth="1"/>
  </cols>
  <sheetData>
    <row r="1" ht="10" customHeight="1" x14ac:dyDescent="0.25"/>
    <row r="2" ht="45" customHeight="1" spans="2:5" x14ac:dyDescent="0.25">
      <c r="B2" s="98" t="s">
        <v>307</v>
      </c>
      <c r="C2" s="98"/>
      <c r="D2" s="98"/>
      <c r="E2" s="98"/>
    </row>
    <row r="3" ht="24" customHeight="1" spans="2:5" x14ac:dyDescent="0.25">
      <c r="B3" s="99" t="s">
        <v>308</v>
      </c>
      <c r="C3" s="99"/>
      <c r="D3" s="99"/>
      <c r="E3" s="99"/>
    </row>
    <row r="5" ht="24" customHeight="1" spans="2:5" x14ac:dyDescent="0.25">
      <c r="B5" s="5" t="s">
        <v>4</v>
      </c>
      <c r="C5" s="6" t="s">
        <v>309</v>
      </c>
      <c r="D5" s="6" t="s">
        <v>310</v>
      </c>
      <c r="E5" s="5" t="s">
        <v>311</v>
      </c>
    </row>
    <row r="6" ht="42" customHeight="1" spans="2:5" x14ac:dyDescent="0.25">
      <c r="B6" s="7" t="s">
        <v>8</v>
      </c>
      <c r="C6" s="8" t="s">
        <v>312</v>
      </c>
      <c r="D6" s="9" t="s">
        <v>313</v>
      </c>
      <c r="E6" s="92" t="s">
        <v>314</v>
      </c>
    </row>
    <row r="7" ht="42" customHeight="1" spans="2:5" x14ac:dyDescent="0.25">
      <c r="B7" s="11" t="s">
        <v>12</v>
      </c>
      <c r="C7" s="12" t="s">
        <v>315</v>
      </c>
      <c r="D7" s="13" t="s">
        <v>316</v>
      </c>
      <c r="E7" s="96" t="s">
        <v>314</v>
      </c>
    </row>
    <row r="8" ht="42" customHeight="1" spans="2:5" x14ac:dyDescent="0.25">
      <c r="B8" s="7" t="s">
        <v>16</v>
      </c>
      <c r="C8" s="8" t="s">
        <v>317</v>
      </c>
      <c r="D8" s="9" t="s">
        <v>318</v>
      </c>
      <c r="E8" s="92" t="s">
        <v>314</v>
      </c>
    </row>
    <row r="9" ht="42" customHeight="1" spans="2:5" x14ac:dyDescent="0.25">
      <c r="B9" s="11" t="s">
        <v>20</v>
      </c>
      <c r="C9" s="12" t="s">
        <v>319</v>
      </c>
      <c r="D9" s="13" t="s">
        <v>320</v>
      </c>
      <c r="E9" s="96" t="s">
        <v>314</v>
      </c>
    </row>
    <row r="10" ht="42" customHeight="1" spans="2:5" x14ac:dyDescent="0.25">
      <c r="B10" s="7" t="s">
        <v>24</v>
      </c>
      <c r="C10" s="8" t="s">
        <v>321</v>
      </c>
      <c r="D10" s="9" t="s">
        <v>322</v>
      </c>
      <c r="E10" s="92" t="s">
        <v>314</v>
      </c>
    </row>
    <row r="12" ht="24" customHeight="1" spans="2:5" x14ac:dyDescent="0.25">
      <c r="B12" s="100" t="s">
        <v>323</v>
      </c>
      <c r="C12" s="100"/>
      <c r="D12" s="100"/>
      <c r="E12" s="100"/>
    </row>
    <row r="13" ht="75" customHeight="1" spans="2:5" x14ac:dyDescent="0.25">
      <c r="B13" s="89" t="s">
        <v>324</v>
      </c>
      <c r="C13" s="89"/>
      <c r="D13" s="89"/>
      <c r="E13" s="89"/>
    </row>
    <row r="14" ht="70" customHeight="1" spans="2:5" x14ac:dyDescent="0.25">
      <c r="B14" s="101" t="s">
        <v>325</v>
      </c>
      <c r="C14" s="101"/>
      <c r="D14" s="101"/>
      <c r="E14" s="101"/>
    </row>
  </sheetData>
  <mergeCells count="5">
    <mergeCell ref="B2:E2"/>
    <mergeCell ref="B3:E3"/>
    <mergeCell ref="B12:E12"/>
    <mergeCell ref="B13:E13"/>
    <mergeCell ref="B14:E1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Panduan &amp; Profil Responden</vt:lpstr>
      <vt:lpstr>2. Kuesioner UAT (25 Butir)</vt:lpstr>
      <vt:lpstr>3. Rekap Data UAT (N=30)</vt:lpstr>
      <vt:lpstr>4. Rubrik &amp; Landasan Teori</vt:lpstr>
      <vt:lpstr>5. Lembar Validasi Ahli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Avit Febriansyah - INTERV-U Research Instrument</dc:creator>
  <dc:title/>
  <dc:subject/>
  <dc:description/>
  <cp:keywords/>
  <cp:category/>
  <cp:lastModifiedBy>Unknown</cp:lastModifiedBy>
  <dcterms:created xsi:type="dcterms:W3CDTF">2026-10-15T15:17:04Z</dcterms:created>
  <dcterms:modified xsi:type="dcterms:W3CDTF">2026-10-15T15:17:04Z</dcterms:modified>
</cp:coreProperties>
</file>